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ster" sheetId="1" state="visible" r:id="rId3"/>
    <sheet name="Setup" sheetId="2" state="visible" r:id="rId4"/>
    <sheet name="Clash Check"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<sst xmlns="http://schemas.openxmlformats.org/spreadsheetml/2006/main" count="106" uniqueCount="67">
  <si>
    <t xml:space="preserve">Leave Roster – October to December 2026</t>
  </si>
  <si>
    <t xml:space="preserve">Type a leave code (AL, SL, CL, UL, OT) in the day cells. Red = clash with another colleague. Names/departments/allowance are yellow.</t>
  </si>
  <si>
    <t xml:space="preserve">Clash days found:</t>
  </si>
  <si>
    <t xml:space="preserve">Colleague</t>
  </si>
  <si>
    <t xml:space="preserve">Department</t>
  </si>
  <si>
    <t xml:space="preserve">Leave allowance (days)</t>
  </si>
  <si>
    <t xml:space="preserve">Annual leave taken</t>
  </si>
  <si>
    <t xml:space="preserve">Other leave taken</t>
  </si>
  <si>
    <t xml:space="preserve">Balance (days)</t>
  </si>
  <si>
    <t xml:space="preserve">Clash days</t>
  </si>
  <si>
    <t xml:space="preserve">Amina Yusuf</t>
  </si>
  <si>
    <t xml:space="preserve">Operations</t>
  </si>
  <si>
    <t xml:space="preserve">AL</t>
  </si>
  <si>
    <t xml:space="preserve">Brian Okafor</t>
  </si>
  <si>
    <t xml:space="preserve">SL</t>
  </si>
  <si>
    <t xml:space="preserve">Chloe Martin</t>
  </si>
  <si>
    <t xml:space="preserve">Finance</t>
  </si>
  <si>
    <t xml:space="preserve">David Chen</t>
  </si>
  <si>
    <t xml:space="preserve">Esther Mensah</t>
  </si>
  <si>
    <t xml:space="preserve">HR</t>
  </si>
  <si>
    <t xml:space="preserve">OT</t>
  </si>
  <si>
    <t xml:space="preserve">Farid Khan</t>
  </si>
  <si>
    <t xml:space="preserve">IT</t>
  </si>
  <si>
    <t xml:space="preserve">Grace Lee</t>
  </si>
  <si>
    <t xml:space="preserve">Hassan Ali</t>
  </si>
  <si>
    <t xml:space="preserve">Sales</t>
  </si>
  <si>
    <t xml:space="preserve">Ifeoma Nnadi</t>
  </si>
  <si>
    <t xml:space="preserve">Colleagues off</t>
  </si>
  <si>
    <t xml:space="preserve">Over office limit?</t>
  </si>
  <si>
    <t xml:space="preserve">How to use</t>
  </si>
  <si>
    <t xml:space="preserve">1. Enter colleague names, departments and leave allowance in the yellow cells (up to 20).</t>
  </si>
  <si>
    <t xml:space="preserve">2. Type the leave code in each day the person is off, e.g. AL for annual leave. Leave blank when working.</t>
  </si>
  <si>
    <t xml:space="preserve">3. A RED cell means that day clashes: more people are off than allowed for that department or the whole office (limits on Setup).</t>
  </si>
  <si>
    <t xml:space="preserve">4. Excel also warns as you type a clashing entry; choose No to cancel it.</t>
  </si>
  <si>
    <t xml:space="preserve">5. Grey columns are weekends/public holidays; they are not counted as leave days.</t>
  </si>
  <si>
    <t xml:space="preserve">Codes</t>
  </si>
  <si>
    <t xml:space="preserve">AL – Annual Leave</t>
  </si>
  <si>
    <t xml:space="preserve">SL – Sick Leave</t>
  </si>
  <si>
    <t xml:space="preserve">CL – Casual Leave</t>
  </si>
  <si>
    <t xml:space="preserve">UL – Unpaid Leave</t>
  </si>
  <si>
    <t xml:space="preserve">OT – Other / Training</t>
  </si>
  <si>
    <t xml:space="preserve">Setup – Leave Roster Oct–Dec 2026</t>
  </si>
  <si>
    <t xml:space="preserve">Yellow cells with blue text are inputs. Change them to suit your office.</t>
  </si>
  <si>
    <t xml:space="preserve">Roster start date (92 days are shown)</t>
  </si>
  <si>
    <t xml:space="preserve">Max colleagues OFF on the same day – same department</t>
  </si>
  <si>
    <t xml:space="preserve">Assumed default: 1 per department. Raise if two people from a team may be off together.</t>
  </si>
  <si>
    <t xml:space="preserve">Max colleagues OFF on the same day – whole office</t>
  </si>
  <si>
    <t xml:space="preserve">Assumed default: 3. Set to headcount minus the minimum staff you need in.</t>
  </si>
  <si>
    <t xml:space="preserve">Code</t>
  </si>
  <si>
    <t xml:space="preserve">Leave type</t>
  </si>
  <si>
    <t xml:space="preserve">Colour</t>
  </si>
  <si>
    <t xml:space="preserve">Public holiday</t>
  </si>
  <si>
    <t xml:space="preserve">Date</t>
  </si>
  <si>
    <t xml:space="preserve">Annual Leave</t>
  </si>
  <si>
    <t xml:space="preserve">Independence Day</t>
  </si>
  <si>
    <t xml:space="preserve">Sick Leave</t>
  </si>
  <si>
    <t xml:space="preserve">Christmas Day</t>
  </si>
  <si>
    <t xml:space="preserve">CL</t>
  </si>
  <si>
    <t xml:space="preserve">Casual Leave</t>
  </si>
  <si>
    <t xml:space="preserve">Boxing Day</t>
  </si>
  <si>
    <t xml:space="preserve">UL</t>
  </si>
  <si>
    <t xml:space="preserve">Unpaid Leave</t>
  </si>
  <si>
    <t xml:space="preserve">Other / Training</t>
  </si>
  <si>
    <t xml:space="preserve">'AL' is deducted from each colleague's allowance. Other codes are recorded but not deducted.</t>
  </si>
  <si>
    <t xml:space="preserve">Sample holidays (assumed) – replace with your official calendar.</t>
  </si>
  <si>
    <t xml:space="preserve">Clash Check (automatic – do not edit)</t>
  </si>
  <si>
    <t xml:space="preserve">Shows CLASH where a leave day breaks the department or office limit on Setup. Columns match the Roster sheet.</t>
  </si>
</sst>
</file>

<file path=xl/styles.xml><?xml version="1.0" encoding="utf-8"?>
<styleSheet xmlns="http://schemas.openxmlformats.org/spreadsheetml/2006/main">
  <numFmts count="5">
    <numFmt numFmtId="164" formatCode="General"/>
    <numFmt numFmtId="165" formatCode="General"/>
    <numFmt numFmtId="166" formatCode="d"/>
    <numFmt numFmtId="167" formatCode="dd\-mmm\-yyyy"/>
    <numFmt numFmtId="168" formatCode="dd\-mmm"/>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b val="true"/>
      <sz val="12"/>
      <name val="Arial"/>
      <family val="0"/>
      <charset val="1"/>
    </font>
    <font>
      <b val="true"/>
      <sz val="10"/>
      <color rgb="FFFFFFFF"/>
      <name val="Arial"/>
      <family val="0"/>
      <charset val="1"/>
    </font>
    <font>
      <sz val="8"/>
      <color rgb="FFFFFFFF"/>
      <name val="Arial"/>
      <family val="0"/>
      <charset val="1"/>
    </font>
    <font>
      <b val="true"/>
      <sz val="10"/>
      <color rgb="FF0000FF"/>
      <name val="Arial"/>
      <family val="0"/>
      <charset val="1"/>
    </font>
    <font>
      <sz val="10"/>
      <color rgb="FF0000FF"/>
      <name val="Arial"/>
      <family val="0"/>
      <charset val="1"/>
    </font>
    <font>
      <b val="true"/>
      <sz val="9"/>
      <color rgb="FF000000"/>
      <name val="Arial"/>
      <family val="0"/>
      <charset val="1"/>
    </font>
    <font>
      <b val="true"/>
      <sz val="9"/>
      <color rgb="FFC00000"/>
      <name val="Arial"/>
      <family val="0"/>
      <charset val="1"/>
    </font>
    <font>
      <sz val="9"/>
      <name val="Arial"/>
      <family val="0"/>
      <charset val="1"/>
    </font>
    <font>
      <i val="true"/>
      <sz val="9"/>
      <color rgb="FF595959"/>
      <name val="Arial"/>
      <family val="0"/>
      <charset val="1"/>
    </font>
    <font>
      <b val="true"/>
      <sz val="14"/>
      <color rgb="FF1F3864"/>
      <name val="Arial"/>
      <family val="0"/>
      <charset val="1"/>
    </font>
    <font>
      <b val="true"/>
      <sz val="8"/>
      <color rgb="FFFFFFFF"/>
      <name val="Arial"/>
      <family val="0"/>
      <charset val="1"/>
    </font>
    <font>
      <sz val="10"/>
      <name val="Arial"/>
      <family val="0"/>
      <charset val="1"/>
    </font>
    <font>
      <sz val="7"/>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F2CC"/>
        <bgColor rgb="FFFFE699"/>
      </patternFill>
    </fill>
    <fill>
      <patternFill patternType="solid">
        <fgColor rgb="FFC6E0B4"/>
        <bgColor rgb="FFC6EFCE"/>
      </patternFill>
    </fill>
    <fill>
      <patternFill patternType="solid">
        <fgColor rgb="FFF8CBAD"/>
        <bgColor rgb="FFFFC7CE"/>
      </patternFill>
    </fill>
    <fill>
      <patternFill patternType="solid">
        <fgColor rgb="FFBDD7EE"/>
        <bgColor rgb="FFD9D9D9"/>
      </patternFill>
    </fill>
    <fill>
      <patternFill patternType="solid">
        <fgColor rgb="FFFFE699"/>
        <bgColor rgb="FFFFF2CC"/>
      </patternFill>
    </fill>
    <fill>
      <patternFill patternType="solid">
        <fgColor rgb="FFE4DFEC"/>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6" fontId="8" fillId="2"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14" fillId="8"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17" fillId="2" borderId="0" xfId="0" applyFont="true" applyBorder="false" applyAlignment="true" applyProtection="false">
      <alignment horizontal="center" vertical="bottom" textRotation="9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color rgb="FFFFFFFF"/>
      </font>
      <fill>
        <patternFill>
          <bgColor rgb="FFC00000"/>
        </patternFill>
      </fill>
    </dxf>
    <dxf>
      <font>
        <name val="Arial"/>
        <charset val="1"/>
        <family val="0"/>
        <b val="1"/>
        <color rgb="FF006100"/>
      </font>
      <fill>
        <patternFill>
          <bgColor rgb="FFC6EFCE"/>
        </patternFill>
      </fill>
    </dxf>
    <dxf>
      <fill>
        <patternFill>
          <bgColor rgb="FFC6E0B4"/>
        </patternFill>
      </fill>
    </dxf>
    <dxf>
      <fill>
        <patternFill>
          <bgColor rgb="FFF8CBAD"/>
        </patternFill>
      </fill>
    </dxf>
    <dxf>
      <fill>
        <patternFill>
          <bgColor rgb="FFBDD7EE"/>
        </patternFill>
      </fill>
    </dxf>
    <dxf>
      <fill>
        <patternFill>
          <bgColor rgb="FFFFE699"/>
        </patternFill>
      </fill>
    </dxf>
    <dxf>
      <fill>
        <patternFill>
          <bgColor rgb="FFE4DFEC"/>
        </patternFill>
      </fill>
    </dxf>
    <dxf>
      <fill>
        <patternFill>
          <bgColor rgb="FFD9D9D9"/>
        </patternFill>
      </fill>
    </dxf>
    <dxf>
      <font>
        <name val="Arial"/>
        <charset val="1"/>
        <family val="0"/>
        <b val="1"/>
        <color rgb="FFC00000"/>
      </font>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E4DFEC"/>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E699"/>
      <rgbColor rgb="FFC6E0B4"/>
      <rgbColor rgb="FFFFC7CE"/>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U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7" ySplit="6" topLeftCell="H7" activePane="bottomRight" state="frozen"/>
      <selection pane="topLeft" activeCell="A1" activeCellId="0" sqref="A1"/>
      <selection pane="topRight" activeCell="H1" activeCellId="0" sqref="H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2"/>
    <col collapsed="false" customWidth="true" hidden="false" outlineLevel="0" max="6" min="4" style="0" width="10"/>
    <col collapsed="false" customWidth="true" hidden="false" outlineLevel="0" max="7" min="7" style="0" width="8"/>
    <col collapsed="false" customWidth="true" hidden="false" outlineLevel="0" max="99" min="8" style="0" width="3.9"/>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t="n">
        <f aca="false">SUM(G7:G26)</f>
        <v>0</v>
      </c>
      <c r="C3" s="3" t="str">
        <f aca="false">IF(B3=0,"No clashes – roster is clear","CLASH: fix the red cells")</f>
        <v>No clashes – roster is clear</v>
      </c>
    </row>
    <row r="4" customFormat="false" ht="15" hidden="false" customHeight="false" outlineLevel="0" collapsed="false">
      <c r="A4" s="5"/>
      <c r="B4" s="5"/>
      <c r="C4" s="5"/>
      <c r="D4" s="5"/>
      <c r="E4" s="5"/>
      <c r="F4" s="5"/>
      <c r="G4" s="5"/>
      <c r="H4" s="6" t="str">
        <f aca="false">IF(OR(0=0,DAY(H6)=1),TEXT(H6,"mmmm yyyy"),"")</f>
        <v>October 2026</v>
      </c>
      <c r="I4" s="6" t="str">
        <f aca="false">IF(OR(1=0,DAY(I6)=1),TEXT(I6,"mmmm yyyy"),"")</f>
        <v/>
      </c>
      <c r="J4" s="6" t="str">
        <f aca="false">IF(OR(2=0,DAY(J6)=1),TEXT(J6,"mmmm yyyy"),"")</f>
        <v/>
      </c>
      <c r="K4" s="6" t="str">
        <f aca="false">IF(OR(3=0,DAY(K6)=1),TEXT(K6,"mmmm yyyy"),"")</f>
        <v/>
      </c>
      <c r="L4" s="6" t="str">
        <f aca="false">IF(OR(4=0,DAY(L6)=1),TEXT(L6,"mmmm yyyy"),"")</f>
        <v/>
      </c>
      <c r="M4" s="6" t="str">
        <f aca="false">IF(OR(5=0,DAY(M6)=1),TEXT(M6,"mmmm yyyy"),"")</f>
        <v/>
      </c>
      <c r="N4" s="6" t="str">
        <f aca="false">IF(OR(6=0,DAY(N6)=1),TEXT(N6,"mmmm yyyy"),"")</f>
        <v/>
      </c>
      <c r="O4" s="6" t="str">
        <f aca="false">IF(OR(7=0,DAY(O6)=1),TEXT(O6,"mmmm yyyy"),"")</f>
        <v/>
      </c>
      <c r="P4" s="6" t="str">
        <f aca="false">IF(OR(8=0,DAY(P6)=1),TEXT(P6,"mmmm yyyy"),"")</f>
        <v/>
      </c>
      <c r="Q4" s="6" t="str">
        <f aca="false">IF(OR(9=0,DAY(Q6)=1),TEXT(Q6,"mmmm yyyy"),"")</f>
        <v/>
      </c>
      <c r="R4" s="6" t="str">
        <f aca="false">IF(OR(10=0,DAY(R6)=1),TEXT(R6,"mmmm yyyy"),"")</f>
        <v/>
      </c>
      <c r="S4" s="6" t="str">
        <f aca="false">IF(OR(11=0,DAY(S6)=1),TEXT(S6,"mmmm yyyy"),"")</f>
        <v/>
      </c>
      <c r="T4" s="6" t="str">
        <f aca="false">IF(OR(12=0,DAY(T6)=1),TEXT(T6,"mmmm yyyy"),"")</f>
        <v/>
      </c>
      <c r="U4" s="6" t="str">
        <f aca="false">IF(OR(13=0,DAY(U6)=1),TEXT(U6,"mmmm yyyy"),"")</f>
        <v/>
      </c>
      <c r="V4" s="6" t="str">
        <f aca="false">IF(OR(14=0,DAY(V6)=1),TEXT(V6,"mmmm yyyy"),"")</f>
        <v/>
      </c>
      <c r="W4" s="6" t="str">
        <f aca="false">IF(OR(15=0,DAY(W6)=1),TEXT(W6,"mmmm yyyy"),"")</f>
        <v/>
      </c>
      <c r="X4" s="6" t="str">
        <f aca="false">IF(OR(16=0,DAY(X6)=1),TEXT(X6,"mmmm yyyy"),"")</f>
        <v/>
      </c>
      <c r="Y4" s="6" t="str">
        <f aca="false">IF(OR(17=0,DAY(Y6)=1),TEXT(Y6,"mmmm yyyy"),"")</f>
        <v/>
      </c>
      <c r="Z4" s="6" t="str">
        <f aca="false">IF(OR(18=0,DAY(Z6)=1),TEXT(Z6,"mmmm yyyy"),"")</f>
        <v/>
      </c>
      <c r="AA4" s="6" t="str">
        <f aca="false">IF(OR(19=0,DAY(AA6)=1),TEXT(AA6,"mmmm yyyy"),"")</f>
        <v/>
      </c>
      <c r="AB4" s="6" t="str">
        <f aca="false">IF(OR(20=0,DAY(AB6)=1),TEXT(AB6,"mmmm yyyy"),"")</f>
        <v/>
      </c>
      <c r="AC4" s="6" t="str">
        <f aca="false">IF(OR(21=0,DAY(AC6)=1),TEXT(AC6,"mmmm yyyy"),"")</f>
        <v/>
      </c>
      <c r="AD4" s="6" t="str">
        <f aca="false">IF(OR(22=0,DAY(AD6)=1),TEXT(AD6,"mmmm yyyy"),"")</f>
        <v/>
      </c>
      <c r="AE4" s="6" t="str">
        <f aca="false">IF(OR(23=0,DAY(AE6)=1),TEXT(AE6,"mmmm yyyy"),"")</f>
        <v/>
      </c>
      <c r="AF4" s="6" t="str">
        <f aca="false">IF(OR(24=0,DAY(AF6)=1),TEXT(AF6,"mmmm yyyy"),"")</f>
        <v/>
      </c>
      <c r="AG4" s="6" t="str">
        <f aca="false">IF(OR(25=0,DAY(AG6)=1),TEXT(AG6,"mmmm yyyy"),"")</f>
        <v/>
      </c>
      <c r="AH4" s="6" t="str">
        <f aca="false">IF(OR(26=0,DAY(AH6)=1),TEXT(AH6,"mmmm yyyy"),"")</f>
        <v/>
      </c>
      <c r="AI4" s="6" t="str">
        <f aca="false">IF(OR(27=0,DAY(AI6)=1),TEXT(AI6,"mmmm yyyy"),"")</f>
        <v/>
      </c>
      <c r="AJ4" s="6" t="str">
        <f aca="false">IF(OR(28=0,DAY(AJ6)=1),TEXT(AJ6,"mmmm yyyy"),"")</f>
        <v/>
      </c>
      <c r="AK4" s="6" t="str">
        <f aca="false">IF(OR(29=0,DAY(AK6)=1),TEXT(AK6,"mmmm yyyy"),"")</f>
        <v/>
      </c>
      <c r="AL4" s="6" t="str">
        <f aca="false">IF(OR(30=0,DAY(AL6)=1),TEXT(AL6,"mmmm yyyy"),"")</f>
        <v/>
      </c>
      <c r="AM4" s="6" t="str">
        <f aca="false">IF(OR(31=0,DAY(AM6)=1),TEXT(AM6,"mmmm yyyy"),"")</f>
        <v>November 2026</v>
      </c>
      <c r="AN4" s="6" t="str">
        <f aca="false">IF(OR(32=0,DAY(AN6)=1),TEXT(AN6,"mmmm yyyy"),"")</f>
        <v/>
      </c>
      <c r="AO4" s="6" t="str">
        <f aca="false">IF(OR(33=0,DAY(AO6)=1),TEXT(AO6,"mmmm yyyy"),"")</f>
        <v/>
      </c>
      <c r="AP4" s="6" t="str">
        <f aca="false">IF(OR(34=0,DAY(AP6)=1),TEXT(AP6,"mmmm yyyy"),"")</f>
        <v/>
      </c>
      <c r="AQ4" s="6" t="str">
        <f aca="false">IF(OR(35=0,DAY(AQ6)=1),TEXT(AQ6,"mmmm yyyy"),"")</f>
        <v/>
      </c>
      <c r="AR4" s="6" t="str">
        <f aca="false">IF(OR(36=0,DAY(AR6)=1),TEXT(AR6,"mmmm yyyy"),"")</f>
        <v/>
      </c>
      <c r="AS4" s="6" t="str">
        <f aca="false">IF(OR(37=0,DAY(AS6)=1),TEXT(AS6,"mmmm yyyy"),"")</f>
        <v/>
      </c>
      <c r="AT4" s="6" t="str">
        <f aca="false">IF(OR(38=0,DAY(AT6)=1),TEXT(AT6,"mmmm yyyy"),"")</f>
        <v/>
      </c>
      <c r="AU4" s="6" t="str">
        <f aca="false">IF(OR(39=0,DAY(AU6)=1),TEXT(AU6,"mmmm yyyy"),"")</f>
        <v/>
      </c>
      <c r="AV4" s="6" t="str">
        <f aca="false">IF(OR(40=0,DAY(AV6)=1),TEXT(AV6,"mmmm yyyy"),"")</f>
        <v/>
      </c>
      <c r="AW4" s="6" t="str">
        <f aca="false">IF(OR(41=0,DAY(AW6)=1),TEXT(AW6,"mmmm yyyy"),"")</f>
        <v/>
      </c>
      <c r="AX4" s="6" t="str">
        <f aca="false">IF(OR(42=0,DAY(AX6)=1),TEXT(AX6,"mmmm yyyy"),"")</f>
        <v/>
      </c>
      <c r="AY4" s="6" t="str">
        <f aca="false">IF(OR(43=0,DAY(AY6)=1),TEXT(AY6,"mmmm yyyy"),"")</f>
        <v/>
      </c>
      <c r="AZ4" s="6" t="str">
        <f aca="false">IF(OR(44=0,DAY(AZ6)=1),TEXT(AZ6,"mmmm yyyy"),"")</f>
        <v/>
      </c>
      <c r="BA4" s="6" t="str">
        <f aca="false">IF(OR(45=0,DAY(BA6)=1),TEXT(BA6,"mmmm yyyy"),"")</f>
        <v/>
      </c>
      <c r="BB4" s="6" t="str">
        <f aca="false">IF(OR(46=0,DAY(BB6)=1),TEXT(BB6,"mmmm yyyy"),"")</f>
        <v/>
      </c>
      <c r="BC4" s="6" t="str">
        <f aca="false">IF(OR(47=0,DAY(BC6)=1),TEXT(BC6,"mmmm yyyy"),"")</f>
        <v/>
      </c>
      <c r="BD4" s="6" t="str">
        <f aca="false">IF(OR(48=0,DAY(BD6)=1),TEXT(BD6,"mmmm yyyy"),"")</f>
        <v/>
      </c>
      <c r="BE4" s="6" t="str">
        <f aca="false">IF(OR(49=0,DAY(BE6)=1),TEXT(BE6,"mmmm yyyy"),"")</f>
        <v/>
      </c>
      <c r="BF4" s="6" t="str">
        <f aca="false">IF(OR(50=0,DAY(BF6)=1),TEXT(BF6,"mmmm yyyy"),"")</f>
        <v/>
      </c>
      <c r="BG4" s="6" t="str">
        <f aca="false">IF(OR(51=0,DAY(BG6)=1),TEXT(BG6,"mmmm yyyy"),"")</f>
        <v/>
      </c>
      <c r="BH4" s="6" t="str">
        <f aca="false">IF(OR(52=0,DAY(BH6)=1),TEXT(BH6,"mmmm yyyy"),"")</f>
        <v/>
      </c>
      <c r="BI4" s="6" t="str">
        <f aca="false">IF(OR(53=0,DAY(BI6)=1),TEXT(BI6,"mmmm yyyy"),"")</f>
        <v/>
      </c>
      <c r="BJ4" s="6" t="str">
        <f aca="false">IF(OR(54=0,DAY(BJ6)=1),TEXT(BJ6,"mmmm yyyy"),"")</f>
        <v/>
      </c>
      <c r="BK4" s="6" t="str">
        <f aca="false">IF(OR(55=0,DAY(BK6)=1),TEXT(BK6,"mmmm yyyy"),"")</f>
        <v/>
      </c>
      <c r="BL4" s="6" t="str">
        <f aca="false">IF(OR(56=0,DAY(BL6)=1),TEXT(BL6,"mmmm yyyy"),"")</f>
        <v/>
      </c>
      <c r="BM4" s="6" t="str">
        <f aca="false">IF(OR(57=0,DAY(BM6)=1),TEXT(BM6,"mmmm yyyy"),"")</f>
        <v/>
      </c>
      <c r="BN4" s="6" t="str">
        <f aca="false">IF(OR(58=0,DAY(BN6)=1),TEXT(BN6,"mmmm yyyy"),"")</f>
        <v/>
      </c>
      <c r="BO4" s="6" t="str">
        <f aca="false">IF(OR(59=0,DAY(BO6)=1),TEXT(BO6,"mmmm yyyy"),"")</f>
        <v/>
      </c>
      <c r="BP4" s="6" t="str">
        <f aca="false">IF(OR(60=0,DAY(BP6)=1),TEXT(BP6,"mmmm yyyy"),"")</f>
        <v/>
      </c>
      <c r="BQ4" s="6" t="str">
        <f aca="false">IF(OR(61=0,DAY(BQ6)=1),TEXT(BQ6,"mmmm yyyy"),"")</f>
        <v>December 2026</v>
      </c>
      <c r="BR4" s="6" t="str">
        <f aca="false">IF(OR(62=0,DAY(BR6)=1),TEXT(BR6,"mmmm yyyy"),"")</f>
        <v/>
      </c>
      <c r="BS4" s="6" t="str">
        <f aca="false">IF(OR(63=0,DAY(BS6)=1),TEXT(BS6,"mmmm yyyy"),"")</f>
        <v/>
      </c>
      <c r="BT4" s="6" t="str">
        <f aca="false">IF(OR(64=0,DAY(BT6)=1),TEXT(BT6,"mmmm yyyy"),"")</f>
        <v/>
      </c>
      <c r="BU4" s="6" t="str">
        <f aca="false">IF(OR(65=0,DAY(BU6)=1),TEXT(BU6,"mmmm yyyy"),"")</f>
        <v/>
      </c>
      <c r="BV4" s="6" t="str">
        <f aca="false">IF(OR(66=0,DAY(BV6)=1),TEXT(BV6,"mmmm yyyy"),"")</f>
        <v/>
      </c>
      <c r="BW4" s="6" t="str">
        <f aca="false">IF(OR(67=0,DAY(BW6)=1),TEXT(BW6,"mmmm yyyy"),"")</f>
        <v/>
      </c>
      <c r="BX4" s="6" t="str">
        <f aca="false">IF(OR(68=0,DAY(BX6)=1),TEXT(BX6,"mmmm yyyy"),"")</f>
        <v/>
      </c>
      <c r="BY4" s="6" t="str">
        <f aca="false">IF(OR(69=0,DAY(BY6)=1),TEXT(BY6,"mmmm yyyy"),"")</f>
        <v/>
      </c>
      <c r="BZ4" s="6" t="str">
        <f aca="false">IF(OR(70=0,DAY(BZ6)=1),TEXT(BZ6,"mmmm yyyy"),"")</f>
        <v/>
      </c>
      <c r="CA4" s="6" t="str">
        <f aca="false">IF(OR(71=0,DAY(CA6)=1),TEXT(CA6,"mmmm yyyy"),"")</f>
        <v/>
      </c>
      <c r="CB4" s="6" t="str">
        <f aca="false">IF(OR(72=0,DAY(CB6)=1),TEXT(CB6,"mmmm yyyy"),"")</f>
        <v/>
      </c>
      <c r="CC4" s="6" t="str">
        <f aca="false">IF(OR(73=0,DAY(CC6)=1),TEXT(CC6,"mmmm yyyy"),"")</f>
        <v/>
      </c>
      <c r="CD4" s="6" t="str">
        <f aca="false">IF(OR(74=0,DAY(CD6)=1),TEXT(CD6,"mmmm yyyy"),"")</f>
        <v/>
      </c>
      <c r="CE4" s="6" t="str">
        <f aca="false">IF(OR(75=0,DAY(CE6)=1),TEXT(CE6,"mmmm yyyy"),"")</f>
        <v/>
      </c>
      <c r="CF4" s="6" t="str">
        <f aca="false">IF(OR(76=0,DAY(CF6)=1),TEXT(CF6,"mmmm yyyy"),"")</f>
        <v/>
      </c>
      <c r="CG4" s="6" t="str">
        <f aca="false">IF(OR(77=0,DAY(CG6)=1),TEXT(CG6,"mmmm yyyy"),"")</f>
        <v/>
      </c>
      <c r="CH4" s="6" t="str">
        <f aca="false">IF(OR(78=0,DAY(CH6)=1),TEXT(CH6,"mmmm yyyy"),"")</f>
        <v/>
      </c>
      <c r="CI4" s="6" t="str">
        <f aca="false">IF(OR(79=0,DAY(CI6)=1),TEXT(CI6,"mmmm yyyy"),"")</f>
        <v/>
      </c>
      <c r="CJ4" s="6" t="str">
        <f aca="false">IF(OR(80=0,DAY(CJ6)=1),TEXT(CJ6,"mmmm yyyy"),"")</f>
        <v/>
      </c>
      <c r="CK4" s="6" t="str">
        <f aca="false">IF(OR(81=0,DAY(CK6)=1),TEXT(CK6,"mmmm yyyy"),"")</f>
        <v/>
      </c>
      <c r="CL4" s="6" t="str">
        <f aca="false">IF(OR(82=0,DAY(CL6)=1),TEXT(CL6,"mmmm yyyy"),"")</f>
        <v/>
      </c>
      <c r="CM4" s="6" t="str">
        <f aca="false">IF(OR(83=0,DAY(CM6)=1),TEXT(CM6,"mmmm yyyy"),"")</f>
        <v/>
      </c>
      <c r="CN4" s="6" t="str">
        <f aca="false">IF(OR(84=0,DAY(CN6)=1),TEXT(CN6,"mmmm yyyy"),"")</f>
        <v/>
      </c>
      <c r="CO4" s="6" t="str">
        <f aca="false">IF(OR(85=0,DAY(CO6)=1),TEXT(CO6,"mmmm yyyy"),"")</f>
        <v/>
      </c>
      <c r="CP4" s="6" t="str">
        <f aca="false">IF(OR(86=0,DAY(CP6)=1),TEXT(CP6,"mmmm yyyy"),"")</f>
        <v/>
      </c>
      <c r="CQ4" s="6" t="str">
        <f aca="false">IF(OR(87=0,DAY(CQ6)=1),TEXT(CQ6,"mmmm yyyy"),"")</f>
        <v/>
      </c>
      <c r="CR4" s="6" t="str">
        <f aca="false">IF(OR(88=0,DAY(CR6)=1),TEXT(CR6,"mmmm yyyy"),"")</f>
        <v/>
      </c>
      <c r="CS4" s="6" t="str">
        <f aca="false">IF(OR(89=0,DAY(CS6)=1),TEXT(CS6,"mmmm yyyy"),"")</f>
        <v/>
      </c>
      <c r="CT4" s="6" t="str">
        <f aca="false">IF(OR(90=0,DAY(CT6)=1),TEXT(CT6,"mmmm yyyy"),"")</f>
        <v/>
      </c>
      <c r="CU4" s="6" t="str">
        <f aca="false">IF(OR(91=0,DAY(CU6)=1),TEXT(CU6,"mmmm yyyy"),"")</f>
        <v/>
      </c>
    </row>
    <row r="5" customFormat="false" ht="15" hidden="false" customHeight="false" outlineLevel="0" collapsed="false">
      <c r="A5" s="5"/>
      <c r="B5" s="5"/>
      <c r="C5" s="5"/>
      <c r="D5" s="5"/>
      <c r="E5" s="5"/>
      <c r="F5" s="5"/>
      <c r="G5" s="5"/>
      <c r="H5" s="7" t="str">
        <f aca="false">TEXT(H6,"ddd")</f>
        <v>Thu</v>
      </c>
      <c r="I5" s="7" t="str">
        <f aca="false">TEXT(I6,"ddd")</f>
        <v>Fri</v>
      </c>
      <c r="J5" s="7" t="str">
        <f aca="false">TEXT(J6,"ddd")</f>
        <v>Sat</v>
      </c>
      <c r="K5" s="7" t="str">
        <f aca="false">TEXT(K6,"ddd")</f>
        <v>Sun</v>
      </c>
      <c r="L5" s="7" t="str">
        <f aca="false">TEXT(L6,"ddd")</f>
        <v>Mon</v>
      </c>
      <c r="M5" s="7" t="str">
        <f aca="false">TEXT(M6,"ddd")</f>
        <v>Tue</v>
      </c>
      <c r="N5" s="7" t="str">
        <f aca="false">TEXT(N6,"ddd")</f>
        <v>Wed</v>
      </c>
      <c r="O5" s="7" t="str">
        <f aca="false">TEXT(O6,"ddd")</f>
        <v>Thu</v>
      </c>
      <c r="P5" s="7" t="str">
        <f aca="false">TEXT(P6,"ddd")</f>
        <v>Fri</v>
      </c>
      <c r="Q5" s="7" t="str">
        <f aca="false">TEXT(Q6,"ddd")</f>
        <v>Sat</v>
      </c>
      <c r="R5" s="7" t="str">
        <f aca="false">TEXT(R6,"ddd")</f>
        <v>Sun</v>
      </c>
      <c r="S5" s="7" t="str">
        <f aca="false">TEXT(S6,"ddd")</f>
        <v>Mon</v>
      </c>
      <c r="T5" s="7" t="str">
        <f aca="false">TEXT(T6,"ddd")</f>
        <v>Tue</v>
      </c>
      <c r="U5" s="7" t="str">
        <f aca="false">TEXT(U6,"ddd")</f>
        <v>Wed</v>
      </c>
      <c r="V5" s="7" t="str">
        <f aca="false">TEXT(V6,"ddd")</f>
        <v>Thu</v>
      </c>
      <c r="W5" s="7" t="str">
        <f aca="false">TEXT(W6,"ddd")</f>
        <v>Fri</v>
      </c>
      <c r="X5" s="7" t="str">
        <f aca="false">TEXT(X6,"ddd")</f>
        <v>Sat</v>
      </c>
      <c r="Y5" s="7" t="str">
        <f aca="false">TEXT(Y6,"ddd")</f>
        <v>Sun</v>
      </c>
      <c r="Z5" s="7" t="str">
        <f aca="false">TEXT(Z6,"ddd")</f>
        <v>Mon</v>
      </c>
      <c r="AA5" s="7" t="str">
        <f aca="false">TEXT(AA6,"ddd")</f>
        <v>Tue</v>
      </c>
      <c r="AB5" s="7" t="str">
        <f aca="false">TEXT(AB6,"ddd")</f>
        <v>Wed</v>
      </c>
      <c r="AC5" s="7" t="str">
        <f aca="false">TEXT(AC6,"ddd")</f>
        <v>Thu</v>
      </c>
      <c r="AD5" s="7" t="str">
        <f aca="false">TEXT(AD6,"ddd")</f>
        <v>Fri</v>
      </c>
      <c r="AE5" s="7" t="str">
        <f aca="false">TEXT(AE6,"ddd")</f>
        <v>Sat</v>
      </c>
      <c r="AF5" s="7" t="str">
        <f aca="false">TEXT(AF6,"ddd")</f>
        <v>Sun</v>
      </c>
      <c r="AG5" s="7" t="str">
        <f aca="false">TEXT(AG6,"ddd")</f>
        <v>Mon</v>
      </c>
      <c r="AH5" s="7" t="str">
        <f aca="false">TEXT(AH6,"ddd")</f>
        <v>Tue</v>
      </c>
      <c r="AI5" s="7" t="str">
        <f aca="false">TEXT(AI6,"ddd")</f>
        <v>Wed</v>
      </c>
      <c r="AJ5" s="7" t="str">
        <f aca="false">TEXT(AJ6,"ddd")</f>
        <v>Thu</v>
      </c>
      <c r="AK5" s="7" t="str">
        <f aca="false">TEXT(AK6,"ddd")</f>
        <v>Fri</v>
      </c>
      <c r="AL5" s="7" t="str">
        <f aca="false">TEXT(AL6,"ddd")</f>
        <v>Sat</v>
      </c>
      <c r="AM5" s="7" t="str">
        <f aca="false">TEXT(AM6,"ddd")</f>
        <v>Sun</v>
      </c>
      <c r="AN5" s="7" t="str">
        <f aca="false">TEXT(AN6,"ddd")</f>
        <v>Mon</v>
      </c>
      <c r="AO5" s="7" t="str">
        <f aca="false">TEXT(AO6,"ddd")</f>
        <v>Tue</v>
      </c>
      <c r="AP5" s="7" t="str">
        <f aca="false">TEXT(AP6,"ddd")</f>
        <v>Wed</v>
      </c>
      <c r="AQ5" s="7" t="str">
        <f aca="false">TEXT(AQ6,"ddd")</f>
        <v>Thu</v>
      </c>
      <c r="AR5" s="7" t="str">
        <f aca="false">TEXT(AR6,"ddd")</f>
        <v>Fri</v>
      </c>
      <c r="AS5" s="7" t="str">
        <f aca="false">TEXT(AS6,"ddd")</f>
        <v>Sat</v>
      </c>
      <c r="AT5" s="7" t="str">
        <f aca="false">TEXT(AT6,"ddd")</f>
        <v>Sun</v>
      </c>
      <c r="AU5" s="7" t="str">
        <f aca="false">TEXT(AU6,"ddd")</f>
        <v>Mon</v>
      </c>
      <c r="AV5" s="7" t="str">
        <f aca="false">TEXT(AV6,"ddd")</f>
        <v>Tue</v>
      </c>
      <c r="AW5" s="7" t="str">
        <f aca="false">TEXT(AW6,"ddd")</f>
        <v>Wed</v>
      </c>
      <c r="AX5" s="7" t="str">
        <f aca="false">TEXT(AX6,"ddd")</f>
        <v>Thu</v>
      </c>
      <c r="AY5" s="7" t="str">
        <f aca="false">TEXT(AY6,"ddd")</f>
        <v>Fri</v>
      </c>
      <c r="AZ5" s="7" t="str">
        <f aca="false">TEXT(AZ6,"ddd")</f>
        <v>Sat</v>
      </c>
      <c r="BA5" s="7" t="str">
        <f aca="false">TEXT(BA6,"ddd")</f>
        <v>Sun</v>
      </c>
      <c r="BB5" s="7" t="str">
        <f aca="false">TEXT(BB6,"ddd")</f>
        <v>Mon</v>
      </c>
      <c r="BC5" s="7" t="str">
        <f aca="false">TEXT(BC6,"ddd")</f>
        <v>Tue</v>
      </c>
      <c r="BD5" s="7" t="str">
        <f aca="false">TEXT(BD6,"ddd")</f>
        <v>Wed</v>
      </c>
      <c r="BE5" s="7" t="str">
        <f aca="false">TEXT(BE6,"ddd")</f>
        <v>Thu</v>
      </c>
      <c r="BF5" s="7" t="str">
        <f aca="false">TEXT(BF6,"ddd")</f>
        <v>Fri</v>
      </c>
      <c r="BG5" s="7" t="str">
        <f aca="false">TEXT(BG6,"ddd")</f>
        <v>Sat</v>
      </c>
      <c r="BH5" s="7" t="str">
        <f aca="false">TEXT(BH6,"ddd")</f>
        <v>Sun</v>
      </c>
      <c r="BI5" s="7" t="str">
        <f aca="false">TEXT(BI6,"ddd")</f>
        <v>Mon</v>
      </c>
      <c r="BJ5" s="7" t="str">
        <f aca="false">TEXT(BJ6,"ddd")</f>
        <v>Tue</v>
      </c>
      <c r="BK5" s="7" t="str">
        <f aca="false">TEXT(BK6,"ddd")</f>
        <v>Wed</v>
      </c>
      <c r="BL5" s="7" t="str">
        <f aca="false">TEXT(BL6,"ddd")</f>
        <v>Thu</v>
      </c>
      <c r="BM5" s="7" t="str">
        <f aca="false">TEXT(BM6,"ddd")</f>
        <v>Fri</v>
      </c>
      <c r="BN5" s="7" t="str">
        <f aca="false">TEXT(BN6,"ddd")</f>
        <v>Sat</v>
      </c>
      <c r="BO5" s="7" t="str">
        <f aca="false">TEXT(BO6,"ddd")</f>
        <v>Sun</v>
      </c>
      <c r="BP5" s="7" t="str">
        <f aca="false">TEXT(BP6,"ddd")</f>
        <v>Mon</v>
      </c>
      <c r="BQ5" s="7" t="str">
        <f aca="false">TEXT(BQ6,"ddd")</f>
        <v>Tue</v>
      </c>
      <c r="BR5" s="7" t="str">
        <f aca="false">TEXT(BR6,"ddd")</f>
        <v>Wed</v>
      </c>
      <c r="BS5" s="7" t="str">
        <f aca="false">TEXT(BS6,"ddd")</f>
        <v>Thu</v>
      </c>
      <c r="BT5" s="7" t="str">
        <f aca="false">TEXT(BT6,"ddd")</f>
        <v>Fri</v>
      </c>
      <c r="BU5" s="7" t="str">
        <f aca="false">TEXT(BU6,"ddd")</f>
        <v>Sat</v>
      </c>
      <c r="BV5" s="7" t="str">
        <f aca="false">TEXT(BV6,"ddd")</f>
        <v>Sun</v>
      </c>
      <c r="BW5" s="7" t="str">
        <f aca="false">TEXT(BW6,"ddd")</f>
        <v>Mon</v>
      </c>
      <c r="BX5" s="7" t="str">
        <f aca="false">TEXT(BX6,"ddd")</f>
        <v>Tue</v>
      </c>
      <c r="BY5" s="7" t="str">
        <f aca="false">TEXT(BY6,"ddd")</f>
        <v>Wed</v>
      </c>
      <c r="BZ5" s="7" t="str">
        <f aca="false">TEXT(BZ6,"ddd")</f>
        <v>Thu</v>
      </c>
      <c r="CA5" s="7" t="str">
        <f aca="false">TEXT(CA6,"ddd")</f>
        <v>Fri</v>
      </c>
      <c r="CB5" s="7" t="str">
        <f aca="false">TEXT(CB6,"ddd")</f>
        <v>Sat</v>
      </c>
      <c r="CC5" s="7" t="str">
        <f aca="false">TEXT(CC6,"ddd")</f>
        <v>Sun</v>
      </c>
      <c r="CD5" s="7" t="str">
        <f aca="false">TEXT(CD6,"ddd")</f>
        <v>Mon</v>
      </c>
      <c r="CE5" s="7" t="str">
        <f aca="false">TEXT(CE6,"ddd")</f>
        <v>Tue</v>
      </c>
      <c r="CF5" s="7" t="str">
        <f aca="false">TEXT(CF6,"ddd")</f>
        <v>Wed</v>
      </c>
      <c r="CG5" s="7" t="str">
        <f aca="false">TEXT(CG6,"ddd")</f>
        <v>Thu</v>
      </c>
      <c r="CH5" s="7" t="str">
        <f aca="false">TEXT(CH6,"ddd")</f>
        <v>Fri</v>
      </c>
      <c r="CI5" s="7" t="str">
        <f aca="false">TEXT(CI6,"ddd")</f>
        <v>Sat</v>
      </c>
      <c r="CJ5" s="7" t="str">
        <f aca="false">TEXT(CJ6,"ddd")</f>
        <v>Sun</v>
      </c>
      <c r="CK5" s="7" t="str">
        <f aca="false">TEXT(CK6,"ddd")</f>
        <v>Mon</v>
      </c>
      <c r="CL5" s="7" t="str">
        <f aca="false">TEXT(CL6,"ddd")</f>
        <v>Tue</v>
      </c>
      <c r="CM5" s="7" t="str">
        <f aca="false">TEXT(CM6,"ddd")</f>
        <v>Wed</v>
      </c>
      <c r="CN5" s="7" t="str">
        <f aca="false">TEXT(CN6,"ddd")</f>
        <v>Thu</v>
      </c>
      <c r="CO5" s="7" t="str">
        <f aca="false">TEXT(CO6,"ddd")</f>
        <v>Fri</v>
      </c>
      <c r="CP5" s="7" t="str">
        <f aca="false">TEXT(CP6,"ddd")</f>
        <v>Sat</v>
      </c>
      <c r="CQ5" s="7" t="str">
        <f aca="false">TEXT(CQ6,"ddd")</f>
        <v>Sun</v>
      </c>
      <c r="CR5" s="7" t="str">
        <f aca="false">TEXT(CR6,"ddd")</f>
        <v>Mon</v>
      </c>
      <c r="CS5" s="7" t="str">
        <f aca="false">TEXT(CS6,"ddd")</f>
        <v>Tue</v>
      </c>
      <c r="CT5" s="7" t="str">
        <f aca="false">TEXT(CT6,"ddd")</f>
        <v>Wed</v>
      </c>
      <c r="CU5" s="7" t="str">
        <f aca="false">TEXT(CU6,"ddd")</f>
        <v>Thu</v>
      </c>
    </row>
    <row r="6" customFormat="false" ht="43.5" hidden="false" customHeight="true" outlineLevel="0" collapsed="false">
      <c r="A6" s="8" t="s">
        <v>3</v>
      </c>
      <c r="B6" s="8" t="s">
        <v>4</v>
      </c>
      <c r="C6" s="8" t="s">
        <v>5</v>
      </c>
      <c r="D6" s="8" t="s">
        <v>6</v>
      </c>
      <c r="E6" s="8" t="s">
        <v>7</v>
      </c>
      <c r="F6" s="8" t="s">
        <v>8</v>
      </c>
      <c r="G6" s="8" t="s">
        <v>9</v>
      </c>
      <c r="H6" s="9" t="n">
        <f aca="false">Setup!$B$4</f>
        <v>46296</v>
      </c>
      <c r="I6" s="9" t="n">
        <f aca="false">H6+1</f>
        <v>46297</v>
      </c>
      <c r="J6" s="9" t="n">
        <f aca="false">I6+1</f>
        <v>46298</v>
      </c>
      <c r="K6" s="9" t="n">
        <f aca="false">J6+1</f>
        <v>46299</v>
      </c>
      <c r="L6" s="9" t="n">
        <f aca="false">K6+1</f>
        <v>46300</v>
      </c>
      <c r="M6" s="9" t="n">
        <f aca="false">L6+1</f>
        <v>46301</v>
      </c>
      <c r="N6" s="9" t="n">
        <f aca="false">M6+1</f>
        <v>46302</v>
      </c>
      <c r="O6" s="9" t="n">
        <f aca="false">N6+1</f>
        <v>46303</v>
      </c>
      <c r="P6" s="9" t="n">
        <f aca="false">O6+1</f>
        <v>46304</v>
      </c>
      <c r="Q6" s="9" t="n">
        <f aca="false">P6+1</f>
        <v>46305</v>
      </c>
      <c r="R6" s="9" t="n">
        <f aca="false">Q6+1</f>
        <v>46306</v>
      </c>
      <c r="S6" s="9" t="n">
        <f aca="false">R6+1</f>
        <v>46307</v>
      </c>
      <c r="T6" s="9" t="n">
        <f aca="false">S6+1</f>
        <v>46308</v>
      </c>
      <c r="U6" s="9" t="n">
        <f aca="false">T6+1</f>
        <v>46309</v>
      </c>
      <c r="V6" s="9" t="n">
        <f aca="false">U6+1</f>
        <v>46310</v>
      </c>
      <c r="W6" s="9" t="n">
        <f aca="false">V6+1</f>
        <v>46311</v>
      </c>
      <c r="X6" s="9" t="n">
        <f aca="false">W6+1</f>
        <v>46312</v>
      </c>
      <c r="Y6" s="9" t="n">
        <f aca="false">X6+1</f>
        <v>46313</v>
      </c>
      <c r="Z6" s="9" t="n">
        <f aca="false">Y6+1</f>
        <v>46314</v>
      </c>
      <c r="AA6" s="9" t="n">
        <f aca="false">Z6+1</f>
        <v>46315</v>
      </c>
      <c r="AB6" s="9" t="n">
        <f aca="false">AA6+1</f>
        <v>46316</v>
      </c>
      <c r="AC6" s="9" t="n">
        <f aca="false">AB6+1</f>
        <v>46317</v>
      </c>
      <c r="AD6" s="9" t="n">
        <f aca="false">AC6+1</f>
        <v>46318</v>
      </c>
      <c r="AE6" s="9" t="n">
        <f aca="false">AD6+1</f>
        <v>46319</v>
      </c>
      <c r="AF6" s="9" t="n">
        <f aca="false">AE6+1</f>
        <v>46320</v>
      </c>
      <c r="AG6" s="9" t="n">
        <f aca="false">AF6+1</f>
        <v>46321</v>
      </c>
      <c r="AH6" s="9" t="n">
        <f aca="false">AG6+1</f>
        <v>46322</v>
      </c>
      <c r="AI6" s="9" t="n">
        <f aca="false">AH6+1</f>
        <v>46323</v>
      </c>
      <c r="AJ6" s="9" t="n">
        <f aca="false">AI6+1</f>
        <v>46324</v>
      </c>
      <c r="AK6" s="9" t="n">
        <f aca="false">AJ6+1</f>
        <v>46325</v>
      </c>
      <c r="AL6" s="9" t="n">
        <f aca="false">AK6+1</f>
        <v>46326</v>
      </c>
      <c r="AM6" s="9" t="n">
        <f aca="false">AL6+1</f>
        <v>46327</v>
      </c>
      <c r="AN6" s="9" t="n">
        <f aca="false">AM6+1</f>
        <v>46328</v>
      </c>
      <c r="AO6" s="9" t="n">
        <f aca="false">AN6+1</f>
        <v>46329</v>
      </c>
      <c r="AP6" s="9" t="n">
        <f aca="false">AO6+1</f>
        <v>46330</v>
      </c>
      <c r="AQ6" s="9" t="n">
        <f aca="false">AP6+1</f>
        <v>46331</v>
      </c>
      <c r="AR6" s="9" t="n">
        <f aca="false">AQ6+1</f>
        <v>46332</v>
      </c>
      <c r="AS6" s="9" t="n">
        <f aca="false">AR6+1</f>
        <v>46333</v>
      </c>
      <c r="AT6" s="9" t="n">
        <f aca="false">AS6+1</f>
        <v>46334</v>
      </c>
      <c r="AU6" s="9" t="n">
        <f aca="false">AT6+1</f>
        <v>46335</v>
      </c>
      <c r="AV6" s="9" t="n">
        <f aca="false">AU6+1</f>
        <v>46336</v>
      </c>
      <c r="AW6" s="9" t="n">
        <f aca="false">AV6+1</f>
        <v>46337</v>
      </c>
      <c r="AX6" s="9" t="n">
        <f aca="false">AW6+1</f>
        <v>46338</v>
      </c>
      <c r="AY6" s="9" t="n">
        <f aca="false">AX6+1</f>
        <v>46339</v>
      </c>
      <c r="AZ6" s="9" t="n">
        <f aca="false">AY6+1</f>
        <v>46340</v>
      </c>
      <c r="BA6" s="9" t="n">
        <f aca="false">AZ6+1</f>
        <v>46341</v>
      </c>
      <c r="BB6" s="9" t="n">
        <f aca="false">BA6+1</f>
        <v>46342</v>
      </c>
      <c r="BC6" s="9" t="n">
        <f aca="false">BB6+1</f>
        <v>46343</v>
      </c>
      <c r="BD6" s="9" t="n">
        <f aca="false">BC6+1</f>
        <v>46344</v>
      </c>
      <c r="BE6" s="9" t="n">
        <f aca="false">BD6+1</f>
        <v>46345</v>
      </c>
      <c r="BF6" s="9" t="n">
        <f aca="false">BE6+1</f>
        <v>46346</v>
      </c>
      <c r="BG6" s="9" t="n">
        <f aca="false">BF6+1</f>
        <v>46347</v>
      </c>
      <c r="BH6" s="9" t="n">
        <f aca="false">BG6+1</f>
        <v>46348</v>
      </c>
      <c r="BI6" s="9" t="n">
        <f aca="false">BH6+1</f>
        <v>46349</v>
      </c>
      <c r="BJ6" s="9" t="n">
        <f aca="false">BI6+1</f>
        <v>46350</v>
      </c>
      <c r="BK6" s="9" t="n">
        <f aca="false">BJ6+1</f>
        <v>46351</v>
      </c>
      <c r="BL6" s="9" t="n">
        <f aca="false">BK6+1</f>
        <v>46352</v>
      </c>
      <c r="BM6" s="9" t="n">
        <f aca="false">BL6+1</f>
        <v>46353</v>
      </c>
      <c r="BN6" s="9" t="n">
        <f aca="false">BM6+1</f>
        <v>46354</v>
      </c>
      <c r="BO6" s="9" t="n">
        <f aca="false">BN6+1</f>
        <v>46355</v>
      </c>
      <c r="BP6" s="9" t="n">
        <f aca="false">BO6+1</f>
        <v>46356</v>
      </c>
      <c r="BQ6" s="9" t="n">
        <f aca="false">BP6+1</f>
        <v>46357</v>
      </c>
      <c r="BR6" s="9" t="n">
        <f aca="false">BQ6+1</f>
        <v>46358</v>
      </c>
      <c r="BS6" s="9" t="n">
        <f aca="false">BR6+1</f>
        <v>46359</v>
      </c>
      <c r="BT6" s="9" t="n">
        <f aca="false">BS6+1</f>
        <v>46360</v>
      </c>
      <c r="BU6" s="9" t="n">
        <f aca="false">BT6+1</f>
        <v>46361</v>
      </c>
      <c r="BV6" s="9" t="n">
        <f aca="false">BU6+1</f>
        <v>46362</v>
      </c>
      <c r="BW6" s="9" t="n">
        <f aca="false">BV6+1</f>
        <v>46363</v>
      </c>
      <c r="BX6" s="9" t="n">
        <f aca="false">BW6+1</f>
        <v>46364</v>
      </c>
      <c r="BY6" s="9" t="n">
        <f aca="false">BX6+1</f>
        <v>46365</v>
      </c>
      <c r="BZ6" s="9" t="n">
        <f aca="false">BY6+1</f>
        <v>46366</v>
      </c>
      <c r="CA6" s="9" t="n">
        <f aca="false">BZ6+1</f>
        <v>46367</v>
      </c>
      <c r="CB6" s="9" t="n">
        <f aca="false">CA6+1</f>
        <v>46368</v>
      </c>
      <c r="CC6" s="9" t="n">
        <f aca="false">CB6+1</f>
        <v>46369</v>
      </c>
      <c r="CD6" s="9" t="n">
        <f aca="false">CC6+1</f>
        <v>46370</v>
      </c>
      <c r="CE6" s="9" t="n">
        <f aca="false">CD6+1</f>
        <v>46371</v>
      </c>
      <c r="CF6" s="9" t="n">
        <f aca="false">CE6+1</f>
        <v>46372</v>
      </c>
      <c r="CG6" s="9" t="n">
        <f aca="false">CF6+1</f>
        <v>46373</v>
      </c>
      <c r="CH6" s="9" t="n">
        <f aca="false">CG6+1</f>
        <v>46374</v>
      </c>
      <c r="CI6" s="9" t="n">
        <f aca="false">CH6+1</f>
        <v>46375</v>
      </c>
      <c r="CJ6" s="9" t="n">
        <f aca="false">CI6+1</f>
        <v>46376</v>
      </c>
      <c r="CK6" s="9" t="n">
        <f aca="false">CJ6+1</f>
        <v>46377</v>
      </c>
      <c r="CL6" s="9" t="n">
        <f aca="false">CK6+1</f>
        <v>46378</v>
      </c>
      <c r="CM6" s="9" t="n">
        <f aca="false">CL6+1</f>
        <v>46379</v>
      </c>
      <c r="CN6" s="9" t="n">
        <f aca="false">CM6+1</f>
        <v>46380</v>
      </c>
      <c r="CO6" s="9" t="n">
        <f aca="false">CN6+1</f>
        <v>46381</v>
      </c>
      <c r="CP6" s="9" t="n">
        <f aca="false">CO6+1</f>
        <v>46382</v>
      </c>
      <c r="CQ6" s="9" t="n">
        <f aca="false">CP6+1</f>
        <v>46383</v>
      </c>
      <c r="CR6" s="9" t="n">
        <f aca="false">CQ6+1</f>
        <v>46384</v>
      </c>
      <c r="CS6" s="9" t="n">
        <f aca="false">CR6+1</f>
        <v>46385</v>
      </c>
      <c r="CT6" s="9" t="n">
        <f aca="false">CS6+1</f>
        <v>46386</v>
      </c>
      <c r="CU6" s="9" t="n">
        <f aca="false">CT6+1</f>
        <v>46387</v>
      </c>
    </row>
    <row r="7" customFormat="false" ht="15" hidden="false" customHeight="false" outlineLevel="0" collapsed="false">
      <c r="A7" s="10" t="s">
        <v>10</v>
      </c>
      <c r="B7" s="11" t="s">
        <v>11</v>
      </c>
      <c r="C7" s="11" t="n">
        <v>21</v>
      </c>
      <c r="D7" s="12" t="n">
        <f aca="false">IF($A7="","",SUMPRODUCT((H7:CU7="AL")*(WEEKDAY($H$6:$CU$6,2)&lt;6)*(COUNTIF(Setup!$G$9:$G$20,$H$6:$CU$6)=0)))</f>
        <v>5</v>
      </c>
      <c r="E7" s="12" t="n">
        <f aca="false">IF($A7="","",SUMPRODUCT((H7:CU7&lt;&gt;"")*(H7:CU7&lt;&gt;"AL")*(WEEKDAY($H$6:$CU$6,2)&lt;6)*(COUNTIF(Setup!$G$9:$G$20,$H$6:$CU$6)=0)))</f>
        <v>0</v>
      </c>
      <c r="F7" s="12" t="n">
        <f aca="false">IF($A7="","",C7-D7)</f>
        <v>16</v>
      </c>
      <c r="G7" s="12" t="n">
        <f aca="false">IF($A7="","",COUNTIF('Clash Check'!H7:CU7,"CLASH"))</f>
        <v>0</v>
      </c>
      <c r="H7" s="13"/>
      <c r="I7" s="13"/>
      <c r="J7" s="13"/>
      <c r="K7" s="13"/>
      <c r="L7" s="13"/>
      <c r="M7" s="13"/>
      <c r="N7" s="13"/>
      <c r="O7" s="13"/>
      <c r="P7" s="13"/>
      <c r="Q7" s="13"/>
      <c r="R7" s="13"/>
      <c r="S7" s="13"/>
      <c r="T7" s="13"/>
      <c r="U7" s="13"/>
      <c r="V7" s="13"/>
      <c r="W7" s="13"/>
      <c r="X7" s="13"/>
      <c r="Y7" s="13"/>
      <c r="Z7" s="13"/>
      <c r="AA7" s="13"/>
      <c r="AB7" s="13"/>
      <c r="AC7" s="13"/>
      <c r="AD7" s="13"/>
      <c r="AE7" s="13"/>
      <c r="AF7" s="13"/>
      <c r="AG7" s="13" t="s">
        <v>12</v>
      </c>
      <c r="AH7" s="13" t="s">
        <v>12</v>
      </c>
      <c r="AI7" s="13" t="s">
        <v>12</v>
      </c>
      <c r="AJ7" s="13" t="s">
        <v>12</v>
      </c>
      <c r="AK7" s="13" t="s">
        <v>12</v>
      </c>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row>
    <row r="8" customFormat="false" ht="15" hidden="false" customHeight="false" outlineLevel="0" collapsed="false">
      <c r="A8" s="10" t="s">
        <v>13</v>
      </c>
      <c r="B8" s="11" t="s">
        <v>11</v>
      </c>
      <c r="C8" s="11" t="n">
        <v>21</v>
      </c>
      <c r="D8" s="12" t="n">
        <f aca="false">IF($A8="","",SUMPRODUCT((H8:CU8="AL")*(WEEKDAY($H$6:$CU$6,2)&lt;6)*(COUNTIF(Setup!$G$9:$G$20,$H$6:$CU$6)=0)))</f>
        <v>0</v>
      </c>
      <c r="E8" s="12" t="n">
        <f aca="false">IF($A8="","",SUMPRODUCT((H8:CU8&lt;&gt;"")*(H8:CU8&lt;&gt;"AL")*(WEEKDAY($H$6:$CU$6,2)&lt;6)*(COUNTIF(Setup!$G$9:$G$20,$H$6:$CU$6)=0)))</f>
        <v>2</v>
      </c>
      <c r="F8" s="12" t="n">
        <f aca="false">IF($A8="","",C8-D8)</f>
        <v>21</v>
      </c>
      <c r="G8" s="12" t="n">
        <f aca="false">IF($A8="","",COUNTIF('Clash Check'!H8:CU8,"CLASH"))</f>
        <v>0</v>
      </c>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t="s">
        <v>14</v>
      </c>
      <c r="AV8" s="13" t="s">
        <v>14</v>
      </c>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row>
    <row r="9" customFormat="false" ht="15" hidden="false" customHeight="false" outlineLevel="0" collapsed="false">
      <c r="A9" s="10" t="s">
        <v>15</v>
      </c>
      <c r="B9" s="11" t="s">
        <v>16</v>
      </c>
      <c r="C9" s="11" t="n">
        <v>24</v>
      </c>
      <c r="D9" s="12" t="n">
        <f aca="false">IF($A9="","",SUMPRODUCT((H9:CU9="AL")*(WEEKDAY($H$6:$CU$6,2)&lt;6)*(COUNTIF(Setup!$G$9:$G$20,$H$6:$CU$6)=0)))</f>
        <v>4</v>
      </c>
      <c r="E9" s="12" t="n">
        <f aca="false">IF($A9="","",SUMPRODUCT((H9:CU9&lt;&gt;"")*(H9:CU9&lt;&gt;"AL")*(WEEKDAY($H$6:$CU$6,2)&lt;6)*(COUNTIF(Setup!$G$9:$G$20,$H$6:$CU$6)=0)))</f>
        <v>0</v>
      </c>
      <c r="F9" s="12" t="n">
        <f aca="false">IF($A9="","",C9-D9)</f>
        <v>20</v>
      </c>
      <c r="G9" s="12" t="n">
        <f aca="false">IF($A9="","",COUNTIF('Clash Check'!H9:CU9,"CLASH"))</f>
        <v>0</v>
      </c>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t="s">
        <v>12</v>
      </c>
      <c r="CL9" s="13" t="s">
        <v>12</v>
      </c>
      <c r="CM9" s="13" t="s">
        <v>12</v>
      </c>
      <c r="CN9" s="13" t="s">
        <v>12</v>
      </c>
      <c r="CO9" s="13"/>
      <c r="CP9" s="13"/>
      <c r="CQ9" s="13"/>
      <c r="CR9" s="13"/>
      <c r="CS9" s="13"/>
      <c r="CT9" s="13"/>
      <c r="CU9" s="13"/>
    </row>
    <row r="10" customFormat="false" ht="15" hidden="false" customHeight="false" outlineLevel="0" collapsed="false">
      <c r="A10" s="10" t="s">
        <v>17</v>
      </c>
      <c r="B10" s="11" t="s">
        <v>16</v>
      </c>
      <c r="C10" s="11" t="n">
        <v>21</v>
      </c>
      <c r="D10" s="12" t="n">
        <f aca="false">IF($A10="","",SUMPRODUCT((H10:CU10="AL")*(WEEKDAY($H$6:$CU$6,2)&lt;6)*(COUNTIF(Setup!$G$9:$G$20,$H$6:$CU$6)=0)))</f>
        <v>5</v>
      </c>
      <c r="E10" s="12" t="n">
        <f aca="false">IF($A10="","",SUMPRODUCT((H10:CU10&lt;&gt;"")*(H10:CU10&lt;&gt;"AL")*(WEEKDAY($H$6:$CU$6,2)&lt;6)*(COUNTIF(Setup!$G$9:$G$20,$H$6:$CU$6)=0)))</f>
        <v>0</v>
      </c>
      <c r="F10" s="12" t="n">
        <f aca="false">IF($A10="","",C10-D10)</f>
        <v>16</v>
      </c>
      <c r="G10" s="12" t="n">
        <f aca="false">IF($A10="","",COUNTIF('Clash Check'!H10:CU10,"CLASH"))</f>
        <v>0</v>
      </c>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t="s">
        <v>12</v>
      </c>
      <c r="AO10" s="13" t="s">
        <v>12</v>
      </c>
      <c r="AP10" s="13" t="s">
        <v>12</v>
      </c>
      <c r="AQ10" s="13" t="s">
        <v>12</v>
      </c>
      <c r="AR10" s="13" t="s">
        <v>12</v>
      </c>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row>
    <row r="11" customFormat="false" ht="15" hidden="false" customHeight="false" outlineLevel="0" collapsed="false">
      <c r="A11" s="10" t="s">
        <v>18</v>
      </c>
      <c r="B11" s="11" t="s">
        <v>19</v>
      </c>
      <c r="C11" s="11" t="n">
        <v>24</v>
      </c>
      <c r="D11" s="12" t="n">
        <f aca="false">IF($A11="","",SUMPRODUCT((H11:CU11="AL")*(WEEKDAY($H$6:$CU$6,2)&lt;6)*(COUNTIF(Setup!$G$9:$G$20,$H$6:$CU$6)=0)))</f>
        <v>0</v>
      </c>
      <c r="E11" s="12" t="n">
        <f aca="false">IF($A11="","",SUMPRODUCT((H11:CU11&lt;&gt;"")*(H11:CU11&lt;&gt;"AL")*(WEEKDAY($H$6:$CU$6,2)&lt;6)*(COUNTIF(Setup!$G$9:$G$20,$H$6:$CU$6)=0)))</f>
        <v>2</v>
      </c>
      <c r="F11" s="12" t="n">
        <f aca="false">IF($A11="","",C11-D11)</f>
        <v>24</v>
      </c>
      <c r="G11" s="12" t="n">
        <f aca="false">IF($A11="","",COUNTIF('Clash Check'!H11:CU11,"CLASH"))</f>
        <v>0</v>
      </c>
      <c r="H11" s="13"/>
      <c r="I11" s="13"/>
      <c r="J11" s="13"/>
      <c r="K11" s="13"/>
      <c r="L11" s="13"/>
      <c r="M11" s="13"/>
      <c r="N11" s="13"/>
      <c r="O11" s="13"/>
      <c r="P11" s="13"/>
      <c r="Q11" s="13"/>
      <c r="R11" s="13"/>
      <c r="S11" s="13" t="s">
        <v>20</v>
      </c>
      <c r="T11" s="13" t="s">
        <v>20</v>
      </c>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row>
    <row r="12" customFormat="false" ht="15" hidden="false" customHeight="false" outlineLevel="0" collapsed="false">
      <c r="A12" s="10" t="s">
        <v>21</v>
      </c>
      <c r="B12" s="11" t="s">
        <v>22</v>
      </c>
      <c r="C12" s="11" t="n">
        <v>21</v>
      </c>
      <c r="D12" s="12" t="n">
        <f aca="false">IF($A12="","",SUMPRODUCT((H12:CU12="AL")*(WEEKDAY($H$6:$CU$6,2)&lt;6)*(COUNTIF(Setup!$G$9:$G$20,$H$6:$CU$6)=0)))</f>
        <v>5</v>
      </c>
      <c r="E12" s="12" t="n">
        <f aca="false">IF($A12="","",SUMPRODUCT((H12:CU12&lt;&gt;"")*(H12:CU12&lt;&gt;"AL")*(WEEKDAY($H$6:$CU$6,2)&lt;6)*(COUNTIF(Setup!$G$9:$G$20,$H$6:$CU$6)=0)))</f>
        <v>0</v>
      </c>
      <c r="F12" s="12" t="n">
        <f aca="false">IF($A12="","",C12-D12)</f>
        <v>16</v>
      </c>
      <c r="G12" s="12" t="n">
        <f aca="false">IF($A12="","",COUNTIF('Clash Check'!H12:CU12,"CLASH"))</f>
        <v>0</v>
      </c>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t="s">
        <v>12</v>
      </c>
      <c r="BX12" s="13" t="s">
        <v>12</v>
      </c>
      <c r="BY12" s="13" t="s">
        <v>12</v>
      </c>
      <c r="BZ12" s="13" t="s">
        <v>12</v>
      </c>
      <c r="CA12" s="13" t="s">
        <v>12</v>
      </c>
      <c r="CB12" s="13"/>
      <c r="CC12" s="13"/>
      <c r="CD12" s="13"/>
      <c r="CE12" s="13"/>
      <c r="CF12" s="13"/>
      <c r="CG12" s="13"/>
      <c r="CH12" s="13"/>
      <c r="CI12" s="13"/>
      <c r="CJ12" s="13"/>
      <c r="CK12" s="13"/>
      <c r="CL12" s="13"/>
      <c r="CM12" s="13"/>
      <c r="CN12" s="13"/>
      <c r="CO12" s="13"/>
      <c r="CP12" s="13"/>
      <c r="CQ12" s="13"/>
      <c r="CR12" s="13"/>
      <c r="CS12" s="13"/>
      <c r="CT12" s="13"/>
      <c r="CU12" s="13"/>
    </row>
    <row r="13" customFormat="false" ht="15" hidden="false" customHeight="false" outlineLevel="0" collapsed="false">
      <c r="A13" s="10" t="s">
        <v>23</v>
      </c>
      <c r="B13" s="11" t="s">
        <v>22</v>
      </c>
      <c r="C13" s="11" t="n">
        <v>21</v>
      </c>
      <c r="D13" s="12" t="n">
        <f aca="false">IF($A13="","",SUMPRODUCT((H13:CU13="AL")*(WEEKDAY($H$6:$CU$6,2)&lt;6)*(COUNTIF(Setup!$G$9:$G$20,$H$6:$CU$6)=0)))</f>
        <v>0</v>
      </c>
      <c r="E13" s="12" t="n">
        <f aca="false">IF($A13="","",SUMPRODUCT((H13:CU13&lt;&gt;"")*(H13:CU13&lt;&gt;"AL")*(WEEKDAY($H$6:$CU$6,2)&lt;6)*(COUNTIF(Setup!$G$9:$G$20,$H$6:$CU$6)=0)))</f>
        <v>0</v>
      </c>
      <c r="F13" s="12" t="n">
        <f aca="false">IF($A13="","",C13-D13)</f>
        <v>21</v>
      </c>
      <c r="G13" s="12" t="n">
        <f aca="false">IF($A13="","",COUNTIF('Clash Check'!H13:CU13,"CLASH"))</f>
        <v>0</v>
      </c>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row>
    <row r="14" customFormat="false" ht="15" hidden="false" customHeight="false" outlineLevel="0" collapsed="false">
      <c r="A14" s="10" t="s">
        <v>24</v>
      </c>
      <c r="B14" s="11" t="s">
        <v>25</v>
      </c>
      <c r="C14" s="11" t="n">
        <v>21</v>
      </c>
      <c r="D14" s="12" t="n">
        <f aca="false">IF($A14="","",SUMPRODUCT((H14:CU14="AL")*(WEEKDAY($H$6:$CU$6,2)&lt;6)*(COUNTIF(Setup!$G$9:$G$20,$H$6:$CU$6)=0)))</f>
        <v>5</v>
      </c>
      <c r="E14" s="12" t="n">
        <f aca="false">IF($A14="","",SUMPRODUCT((H14:CU14&lt;&gt;"")*(H14:CU14&lt;&gt;"AL")*(WEEKDAY($H$6:$CU$6,2)&lt;6)*(COUNTIF(Setup!$G$9:$G$20,$H$6:$CU$6)=0)))</f>
        <v>0</v>
      </c>
      <c r="F14" s="12" t="n">
        <f aca="false">IF($A14="","",C14-D14)</f>
        <v>16</v>
      </c>
      <c r="G14" s="12" t="n">
        <f aca="false">IF($A14="","",COUNTIF('Clash Check'!H14:CU14,"CLASH"))</f>
        <v>0</v>
      </c>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t="s">
        <v>12</v>
      </c>
      <c r="BC14" s="13" t="s">
        <v>12</v>
      </c>
      <c r="BD14" s="13" t="s">
        <v>12</v>
      </c>
      <c r="BE14" s="13" t="s">
        <v>12</v>
      </c>
      <c r="BF14" s="13" t="s">
        <v>12</v>
      </c>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row>
    <row r="15" customFormat="false" ht="15" hidden="false" customHeight="false" outlineLevel="0" collapsed="false">
      <c r="A15" s="10" t="s">
        <v>26</v>
      </c>
      <c r="B15" s="11" t="s">
        <v>25</v>
      </c>
      <c r="C15" s="11" t="n">
        <v>21</v>
      </c>
      <c r="D15" s="12" t="n">
        <f aca="false">IF($A15="","",SUMPRODUCT((H15:CU15="AL")*(WEEKDAY($H$6:$CU$6,2)&lt;6)*(COUNTIF(Setup!$G$9:$G$20,$H$6:$CU$6)=0)))</f>
        <v>5</v>
      </c>
      <c r="E15" s="12" t="n">
        <f aca="false">IF($A15="","",SUMPRODUCT((H15:CU15&lt;&gt;"")*(H15:CU15&lt;&gt;"AL")*(WEEKDAY($H$6:$CU$6,2)&lt;6)*(COUNTIF(Setup!$G$9:$G$20,$H$6:$CU$6)=0)))</f>
        <v>0</v>
      </c>
      <c r="F15" s="12" t="n">
        <f aca="false">IF($A15="","",C15-D15)</f>
        <v>16</v>
      </c>
      <c r="G15" s="12" t="n">
        <f aca="false">IF($A15="","",COUNTIF('Clash Check'!H15:CU15,"CLASH"))</f>
        <v>0</v>
      </c>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t="s">
        <v>12</v>
      </c>
      <c r="CE15" s="13" t="s">
        <v>12</v>
      </c>
      <c r="CF15" s="13" t="s">
        <v>12</v>
      </c>
      <c r="CG15" s="13" t="s">
        <v>12</v>
      </c>
      <c r="CH15" s="13" t="s">
        <v>12</v>
      </c>
      <c r="CI15" s="13"/>
      <c r="CJ15" s="13"/>
      <c r="CK15" s="13"/>
      <c r="CL15" s="13"/>
      <c r="CM15" s="13"/>
      <c r="CN15" s="13"/>
      <c r="CO15" s="13"/>
      <c r="CP15" s="13"/>
      <c r="CQ15" s="13"/>
      <c r="CR15" s="13"/>
      <c r="CS15" s="13"/>
      <c r="CT15" s="13"/>
      <c r="CU15" s="13"/>
    </row>
    <row r="16" customFormat="false" ht="15" hidden="false" customHeight="false" outlineLevel="0" collapsed="false">
      <c r="A16" s="10"/>
      <c r="B16" s="11"/>
      <c r="C16" s="11"/>
      <c r="D16" s="12" t="str">
        <f aca="false">IF($A16="","",SUMPRODUCT((H16:CU16="AL")*(WEEKDAY($H$6:$CU$6,2)&lt;6)*(COUNTIF(Setup!$G$9:$G$20,$H$6:$CU$6)=0)))</f>
        <v/>
      </c>
      <c r="E16" s="12" t="str">
        <f aca="false">IF($A16="","",SUMPRODUCT((H16:CU16&lt;&gt;"")*(H16:CU16&lt;&gt;"AL")*(WEEKDAY($H$6:$CU$6,2)&lt;6)*(COUNTIF(Setup!$G$9:$G$20,$H$6:$CU$6)=0)))</f>
        <v/>
      </c>
      <c r="F16" s="12" t="str">
        <f aca="false">IF($A16="","",C16-D16)</f>
        <v/>
      </c>
      <c r="G16" s="12" t="str">
        <f aca="false">IF($A16="","",COUNTIF('Clash Check'!H16:CU16,"CLASH"))</f>
        <v/>
      </c>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row>
    <row r="17" customFormat="false" ht="15" hidden="false" customHeight="false" outlineLevel="0" collapsed="false">
      <c r="A17" s="10"/>
      <c r="B17" s="11"/>
      <c r="C17" s="11"/>
      <c r="D17" s="12" t="str">
        <f aca="false">IF($A17="","",SUMPRODUCT((H17:CU17="AL")*(WEEKDAY($H$6:$CU$6,2)&lt;6)*(COUNTIF(Setup!$G$9:$G$20,$H$6:$CU$6)=0)))</f>
        <v/>
      </c>
      <c r="E17" s="12" t="str">
        <f aca="false">IF($A17="","",SUMPRODUCT((H17:CU17&lt;&gt;"")*(H17:CU17&lt;&gt;"AL")*(WEEKDAY($H$6:$CU$6,2)&lt;6)*(COUNTIF(Setup!$G$9:$G$20,$H$6:$CU$6)=0)))</f>
        <v/>
      </c>
      <c r="F17" s="12" t="str">
        <f aca="false">IF($A17="","",C17-D17)</f>
        <v/>
      </c>
      <c r="G17" s="12" t="str">
        <f aca="false">IF($A17="","",COUNTIF('Clash Check'!H17:CU17,"CLASH"))</f>
        <v/>
      </c>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row>
    <row r="18" customFormat="false" ht="15" hidden="false" customHeight="false" outlineLevel="0" collapsed="false">
      <c r="A18" s="10"/>
      <c r="B18" s="11"/>
      <c r="C18" s="11"/>
      <c r="D18" s="12" t="str">
        <f aca="false">IF($A18="","",SUMPRODUCT((H18:CU18="AL")*(WEEKDAY($H$6:$CU$6,2)&lt;6)*(COUNTIF(Setup!$G$9:$G$20,$H$6:$CU$6)=0)))</f>
        <v/>
      </c>
      <c r="E18" s="12" t="str">
        <f aca="false">IF($A18="","",SUMPRODUCT((H18:CU18&lt;&gt;"")*(H18:CU18&lt;&gt;"AL")*(WEEKDAY($H$6:$CU$6,2)&lt;6)*(COUNTIF(Setup!$G$9:$G$20,$H$6:$CU$6)=0)))</f>
        <v/>
      </c>
      <c r="F18" s="12" t="str">
        <f aca="false">IF($A18="","",C18-D18)</f>
        <v/>
      </c>
      <c r="G18" s="12" t="str">
        <f aca="false">IF($A18="","",COUNTIF('Clash Check'!H18:CU18,"CLASH"))</f>
        <v/>
      </c>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row>
    <row r="19" customFormat="false" ht="15" hidden="false" customHeight="false" outlineLevel="0" collapsed="false">
      <c r="A19" s="10"/>
      <c r="B19" s="11"/>
      <c r="C19" s="11"/>
      <c r="D19" s="12" t="str">
        <f aca="false">IF($A19="","",SUMPRODUCT((H19:CU19="AL")*(WEEKDAY($H$6:$CU$6,2)&lt;6)*(COUNTIF(Setup!$G$9:$G$20,$H$6:$CU$6)=0)))</f>
        <v/>
      </c>
      <c r="E19" s="12" t="str">
        <f aca="false">IF($A19="","",SUMPRODUCT((H19:CU19&lt;&gt;"")*(H19:CU19&lt;&gt;"AL")*(WEEKDAY($H$6:$CU$6,2)&lt;6)*(COUNTIF(Setup!$G$9:$G$20,$H$6:$CU$6)=0)))</f>
        <v/>
      </c>
      <c r="F19" s="12" t="str">
        <f aca="false">IF($A19="","",C19-D19)</f>
        <v/>
      </c>
      <c r="G19" s="12" t="str">
        <f aca="false">IF($A19="","",COUNTIF('Clash Check'!H19:CU19,"CLASH"))</f>
        <v/>
      </c>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row>
    <row r="20" customFormat="false" ht="15" hidden="false" customHeight="false" outlineLevel="0" collapsed="false">
      <c r="A20" s="10"/>
      <c r="B20" s="11"/>
      <c r="C20" s="11"/>
      <c r="D20" s="12" t="str">
        <f aca="false">IF($A20="","",SUMPRODUCT((H20:CU20="AL")*(WEEKDAY($H$6:$CU$6,2)&lt;6)*(COUNTIF(Setup!$G$9:$G$20,$H$6:$CU$6)=0)))</f>
        <v/>
      </c>
      <c r="E20" s="12" t="str">
        <f aca="false">IF($A20="","",SUMPRODUCT((H20:CU20&lt;&gt;"")*(H20:CU20&lt;&gt;"AL")*(WEEKDAY($H$6:$CU$6,2)&lt;6)*(COUNTIF(Setup!$G$9:$G$20,$H$6:$CU$6)=0)))</f>
        <v/>
      </c>
      <c r="F20" s="12" t="str">
        <f aca="false">IF($A20="","",C20-D20)</f>
        <v/>
      </c>
      <c r="G20" s="12" t="str">
        <f aca="false">IF($A20="","",COUNTIF('Clash Check'!H20:CU20,"CLASH"))</f>
        <v/>
      </c>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row>
    <row r="21" customFormat="false" ht="15" hidden="false" customHeight="false" outlineLevel="0" collapsed="false">
      <c r="A21" s="10"/>
      <c r="B21" s="11"/>
      <c r="C21" s="11"/>
      <c r="D21" s="12" t="str">
        <f aca="false">IF($A21="","",SUMPRODUCT((H21:CU21="AL")*(WEEKDAY($H$6:$CU$6,2)&lt;6)*(COUNTIF(Setup!$G$9:$G$20,$H$6:$CU$6)=0)))</f>
        <v/>
      </c>
      <c r="E21" s="12" t="str">
        <f aca="false">IF($A21="","",SUMPRODUCT((H21:CU21&lt;&gt;"")*(H21:CU21&lt;&gt;"AL")*(WEEKDAY($H$6:$CU$6,2)&lt;6)*(COUNTIF(Setup!$G$9:$G$20,$H$6:$CU$6)=0)))</f>
        <v/>
      </c>
      <c r="F21" s="12" t="str">
        <f aca="false">IF($A21="","",C21-D21)</f>
        <v/>
      </c>
      <c r="G21" s="12" t="str">
        <f aca="false">IF($A21="","",COUNTIF('Clash Check'!H21:CU21,"CLASH"))</f>
        <v/>
      </c>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row>
    <row r="22" customFormat="false" ht="15" hidden="false" customHeight="false" outlineLevel="0" collapsed="false">
      <c r="A22" s="10"/>
      <c r="B22" s="11"/>
      <c r="C22" s="11"/>
      <c r="D22" s="12" t="str">
        <f aca="false">IF($A22="","",SUMPRODUCT((H22:CU22="AL")*(WEEKDAY($H$6:$CU$6,2)&lt;6)*(COUNTIF(Setup!$G$9:$G$20,$H$6:$CU$6)=0)))</f>
        <v/>
      </c>
      <c r="E22" s="12" t="str">
        <f aca="false">IF($A22="","",SUMPRODUCT((H22:CU22&lt;&gt;"")*(H22:CU22&lt;&gt;"AL")*(WEEKDAY($H$6:$CU$6,2)&lt;6)*(COUNTIF(Setup!$G$9:$G$20,$H$6:$CU$6)=0)))</f>
        <v/>
      </c>
      <c r="F22" s="12" t="str">
        <f aca="false">IF($A22="","",C22-D22)</f>
        <v/>
      </c>
      <c r="G22" s="12" t="str">
        <f aca="false">IF($A22="","",COUNTIF('Clash Check'!H22:CU22,"CLASH"))</f>
        <v/>
      </c>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row>
    <row r="23" customFormat="false" ht="15" hidden="false" customHeight="false" outlineLevel="0" collapsed="false">
      <c r="A23" s="10"/>
      <c r="B23" s="11"/>
      <c r="C23" s="11"/>
      <c r="D23" s="12" t="str">
        <f aca="false">IF($A23="","",SUMPRODUCT((H23:CU23="AL")*(WEEKDAY($H$6:$CU$6,2)&lt;6)*(COUNTIF(Setup!$G$9:$G$20,$H$6:$CU$6)=0)))</f>
        <v/>
      </c>
      <c r="E23" s="12" t="str">
        <f aca="false">IF($A23="","",SUMPRODUCT((H23:CU23&lt;&gt;"")*(H23:CU23&lt;&gt;"AL")*(WEEKDAY($H$6:$CU$6,2)&lt;6)*(COUNTIF(Setup!$G$9:$G$20,$H$6:$CU$6)=0)))</f>
        <v/>
      </c>
      <c r="F23" s="12" t="str">
        <f aca="false">IF($A23="","",C23-D23)</f>
        <v/>
      </c>
      <c r="G23" s="12" t="str">
        <f aca="false">IF($A23="","",COUNTIF('Clash Check'!H23:CU23,"CLASH"))</f>
        <v/>
      </c>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row>
    <row r="24" customFormat="false" ht="15" hidden="false" customHeight="false" outlineLevel="0" collapsed="false">
      <c r="A24" s="10"/>
      <c r="B24" s="11"/>
      <c r="C24" s="11"/>
      <c r="D24" s="12" t="str">
        <f aca="false">IF($A24="","",SUMPRODUCT((H24:CU24="AL")*(WEEKDAY($H$6:$CU$6,2)&lt;6)*(COUNTIF(Setup!$G$9:$G$20,$H$6:$CU$6)=0)))</f>
        <v/>
      </c>
      <c r="E24" s="12" t="str">
        <f aca="false">IF($A24="","",SUMPRODUCT((H24:CU24&lt;&gt;"")*(H24:CU24&lt;&gt;"AL")*(WEEKDAY($H$6:$CU$6,2)&lt;6)*(COUNTIF(Setup!$G$9:$G$20,$H$6:$CU$6)=0)))</f>
        <v/>
      </c>
      <c r="F24" s="12" t="str">
        <f aca="false">IF($A24="","",C24-D24)</f>
        <v/>
      </c>
      <c r="G24" s="12" t="str">
        <f aca="false">IF($A24="","",COUNTIF('Clash Check'!H24:CU24,"CLASH"))</f>
        <v/>
      </c>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row>
    <row r="25" customFormat="false" ht="15" hidden="false" customHeight="false" outlineLevel="0" collapsed="false">
      <c r="A25" s="10"/>
      <c r="B25" s="11"/>
      <c r="C25" s="11"/>
      <c r="D25" s="12" t="str">
        <f aca="false">IF($A25="","",SUMPRODUCT((H25:CU25="AL")*(WEEKDAY($H$6:$CU$6,2)&lt;6)*(COUNTIF(Setup!$G$9:$G$20,$H$6:$CU$6)=0)))</f>
        <v/>
      </c>
      <c r="E25" s="12" t="str">
        <f aca="false">IF($A25="","",SUMPRODUCT((H25:CU25&lt;&gt;"")*(H25:CU25&lt;&gt;"AL")*(WEEKDAY($H$6:$CU$6,2)&lt;6)*(COUNTIF(Setup!$G$9:$G$20,$H$6:$CU$6)=0)))</f>
        <v/>
      </c>
      <c r="F25" s="12" t="str">
        <f aca="false">IF($A25="","",C25-D25)</f>
        <v/>
      </c>
      <c r="G25" s="12" t="str">
        <f aca="false">IF($A25="","",COUNTIF('Clash Check'!H25:CU25,"CLASH"))</f>
        <v/>
      </c>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row>
    <row r="26" customFormat="false" ht="15" hidden="false" customHeight="false" outlineLevel="0" collapsed="false">
      <c r="A26" s="10"/>
      <c r="B26" s="11"/>
      <c r="C26" s="11"/>
      <c r="D26" s="12" t="str">
        <f aca="false">IF($A26="","",SUMPRODUCT((H26:CU26="AL")*(WEEKDAY($H$6:$CU$6,2)&lt;6)*(COUNTIF(Setup!$G$9:$G$20,$H$6:$CU$6)=0)))</f>
        <v/>
      </c>
      <c r="E26" s="12" t="str">
        <f aca="false">IF($A26="","",SUMPRODUCT((H26:CU26&lt;&gt;"")*(H26:CU26&lt;&gt;"AL")*(WEEKDAY($H$6:$CU$6,2)&lt;6)*(COUNTIF(Setup!$G$9:$G$20,$H$6:$CU$6)=0)))</f>
        <v/>
      </c>
      <c r="F26" s="12" t="str">
        <f aca="false">IF($A26="","",C26-D26)</f>
        <v/>
      </c>
      <c r="G26" s="12" t="str">
        <f aca="false">IF($A26="","",COUNTIF('Clash Check'!H26:CU26,"CLASH"))</f>
        <v/>
      </c>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row>
    <row r="27" customFormat="false" ht="15" hidden="false" customHeight="false" outlineLevel="0" collapsed="false">
      <c r="A27" s="3" t="s">
        <v>27</v>
      </c>
      <c r="H27" s="14" t="n">
        <f aca="false">COUNTIF(H7:H26,"?*")</f>
        <v>0</v>
      </c>
      <c r="I27" s="14" t="n">
        <f aca="false">COUNTIF(I7:I26,"?*")</f>
        <v>0</v>
      </c>
      <c r="J27" s="14" t="n">
        <f aca="false">COUNTIF(J7:J26,"?*")</f>
        <v>0</v>
      </c>
      <c r="K27" s="14" t="n">
        <f aca="false">COUNTIF(K7:K26,"?*")</f>
        <v>0</v>
      </c>
      <c r="L27" s="14" t="n">
        <f aca="false">COUNTIF(L7:L26,"?*")</f>
        <v>0</v>
      </c>
      <c r="M27" s="14" t="n">
        <f aca="false">COUNTIF(M7:M26,"?*")</f>
        <v>0</v>
      </c>
      <c r="N27" s="14" t="n">
        <f aca="false">COUNTIF(N7:N26,"?*")</f>
        <v>0</v>
      </c>
      <c r="O27" s="14" t="n">
        <f aca="false">COUNTIF(O7:O26,"?*")</f>
        <v>0</v>
      </c>
      <c r="P27" s="14" t="n">
        <f aca="false">COUNTIF(P7:P26,"?*")</f>
        <v>0</v>
      </c>
      <c r="Q27" s="14" t="n">
        <f aca="false">COUNTIF(Q7:Q26,"?*")</f>
        <v>0</v>
      </c>
      <c r="R27" s="14" t="n">
        <f aca="false">COUNTIF(R7:R26,"?*")</f>
        <v>0</v>
      </c>
      <c r="S27" s="14" t="n">
        <f aca="false">COUNTIF(S7:S26,"?*")</f>
        <v>1</v>
      </c>
      <c r="T27" s="14" t="n">
        <f aca="false">COUNTIF(T7:T26,"?*")</f>
        <v>1</v>
      </c>
      <c r="U27" s="14" t="n">
        <f aca="false">COUNTIF(U7:U26,"?*")</f>
        <v>0</v>
      </c>
      <c r="V27" s="14" t="n">
        <f aca="false">COUNTIF(V7:V26,"?*")</f>
        <v>0</v>
      </c>
      <c r="W27" s="14" t="n">
        <f aca="false">COUNTIF(W7:W26,"?*")</f>
        <v>0</v>
      </c>
      <c r="X27" s="14" t="n">
        <f aca="false">COUNTIF(X7:X26,"?*")</f>
        <v>0</v>
      </c>
      <c r="Y27" s="14" t="n">
        <f aca="false">COUNTIF(Y7:Y26,"?*")</f>
        <v>0</v>
      </c>
      <c r="Z27" s="14" t="n">
        <f aca="false">COUNTIF(Z7:Z26,"?*")</f>
        <v>0</v>
      </c>
      <c r="AA27" s="14" t="n">
        <f aca="false">COUNTIF(AA7:AA26,"?*")</f>
        <v>0</v>
      </c>
      <c r="AB27" s="14" t="n">
        <f aca="false">COUNTIF(AB7:AB26,"?*")</f>
        <v>0</v>
      </c>
      <c r="AC27" s="14" t="n">
        <f aca="false">COUNTIF(AC7:AC26,"?*")</f>
        <v>0</v>
      </c>
      <c r="AD27" s="14" t="n">
        <f aca="false">COUNTIF(AD7:AD26,"?*")</f>
        <v>0</v>
      </c>
      <c r="AE27" s="14" t="n">
        <f aca="false">COUNTIF(AE7:AE26,"?*")</f>
        <v>0</v>
      </c>
      <c r="AF27" s="14" t="n">
        <f aca="false">COUNTIF(AF7:AF26,"?*")</f>
        <v>0</v>
      </c>
      <c r="AG27" s="14" t="n">
        <f aca="false">COUNTIF(AG7:AG26,"?*")</f>
        <v>1</v>
      </c>
      <c r="AH27" s="14" t="n">
        <f aca="false">COUNTIF(AH7:AH26,"?*")</f>
        <v>1</v>
      </c>
      <c r="AI27" s="14" t="n">
        <f aca="false">COUNTIF(AI7:AI26,"?*")</f>
        <v>1</v>
      </c>
      <c r="AJ27" s="14" t="n">
        <f aca="false">COUNTIF(AJ7:AJ26,"?*")</f>
        <v>1</v>
      </c>
      <c r="AK27" s="14" t="n">
        <f aca="false">COUNTIF(AK7:AK26,"?*")</f>
        <v>1</v>
      </c>
      <c r="AL27" s="14" t="n">
        <f aca="false">COUNTIF(AL7:AL26,"?*")</f>
        <v>0</v>
      </c>
      <c r="AM27" s="14" t="n">
        <f aca="false">COUNTIF(AM7:AM26,"?*")</f>
        <v>0</v>
      </c>
      <c r="AN27" s="14" t="n">
        <f aca="false">COUNTIF(AN7:AN26,"?*")</f>
        <v>1</v>
      </c>
      <c r="AO27" s="14" t="n">
        <f aca="false">COUNTIF(AO7:AO26,"?*")</f>
        <v>1</v>
      </c>
      <c r="AP27" s="14" t="n">
        <f aca="false">COUNTIF(AP7:AP26,"?*")</f>
        <v>1</v>
      </c>
      <c r="AQ27" s="14" t="n">
        <f aca="false">COUNTIF(AQ7:AQ26,"?*")</f>
        <v>1</v>
      </c>
      <c r="AR27" s="14" t="n">
        <f aca="false">COUNTIF(AR7:AR26,"?*")</f>
        <v>1</v>
      </c>
      <c r="AS27" s="14" t="n">
        <f aca="false">COUNTIF(AS7:AS26,"?*")</f>
        <v>0</v>
      </c>
      <c r="AT27" s="14" t="n">
        <f aca="false">COUNTIF(AT7:AT26,"?*")</f>
        <v>0</v>
      </c>
      <c r="AU27" s="14" t="n">
        <f aca="false">COUNTIF(AU7:AU26,"?*")</f>
        <v>1</v>
      </c>
      <c r="AV27" s="14" t="n">
        <f aca="false">COUNTIF(AV7:AV26,"?*")</f>
        <v>1</v>
      </c>
      <c r="AW27" s="14" t="n">
        <f aca="false">COUNTIF(AW7:AW26,"?*")</f>
        <v>0</v>
      </c>
      <c r="AX27" s="14" t="n">
        <f aca="false">COUNTIF(AX7:AX26,"?*")</f>
        <v>0</v>
      </c>
      <c r="AY27" s="14" t="n">
        <f aca="false">COUNTIF(AY7:AY26,"?*")</f>
        <v>0</v>
      </c>
      <c r="AZ27" s="14" t="n">
        <f aca="false">COUNTIF(AZ7:AZ26,"?*")</f>
        <v>0</v>
      </c>
      <c r="BA27" s="14" t="n">
        <f aca="false">COUNTIF(BA7:BA26,"?*")</f>
        <v>0</v>
      </c>
      <c r="BB27" s="14" t="n">
        <f aca="false">COUNTIF(BB7:BB26,"?*")</f>
        <v>1</v>
      </c>
      <c r="BC27" s="14" t="n">
        <f aca="false">COUNTIF(BC7:BC26,"?*")</f>
        <v>1</v>
      </c>
      <c r="BD27" s="14" t="n">
        <f aca="false">COUNTIF(BD7:BD26,"?*")</f>
        <v>1</v>
      </c>
      <c r="BE27" s="14" t="n">
        <f aca="false">COUNTIF(BE7:BE26,"?*")</f>
        <v>1</v>
      </c>
      <c r="BF27" s="14" t="n">
        <f aca="false">COUNTIF(BF7:BF26,"?*")</f>
        <v>1</v>
      </c>
      <c r="BG27" s="14" t="n">
        <f aca="false">COUNTIF(BG7:BG26,"?*")</f>
        <v>0</v>
      </c>
      <c r="BH27" s="14" t="n">
        <f aca="false">COUNTIF(BH7:BH26,"?*")</f>
        <v>0</v>
      </c>
      <c r="BI27" s="14" t="n">
        <f aca="false">COUNTIF(BI7:BI26,"?*")</f>
        <v>0</v>
      </c>
      <c r="BJ27" s="14" t="n">
        <f aca="false">COUNTIF(BJ7:BJ26,"?*")</f>
        <v>0</v>
      </c>
      <c r="BK27" s="14" t="n">
        <f aca="false">COUNTIF(BK7:BK26,"?*")</f>
        <v>0</v>
      </c>
      <c r="BL27" s="14" t="n">
        <f aca="false">COUNTIF(BL7:BL26,"?*")</f>
        <v>0</v>
      </c>
      <c r="BM27" s="14" t="n">
        <f aca="false">COUNTIF(BM7:BM26,"?*")</f>
        <v>0</v>
      </c>
      <c r="BN27" s="14" t="n">
        <f aca="false">COUNTIF(BN7:BN26,"?*")</f>
        <v>0</v>
      </c>
      <c r="BO27" s="14" t="n">
        <f aca="false">COUNTIF(BO7:BO26,"?*")</f>
        <v>0</v>
      </c>
      <c r="BP27" s="14" t="n">
        <f aca="false">COUNTIF(BP7:BP26,"?*")</f>
        <v>0</v>
      </c>
      <c r="BQ27" s="14" t="n">
        <f aca="false">COUNTIF(BQ7:BQ26,"?*")</f>
        <v>0</v>
      </c>
      <c r="BR27" s="14" t="n">
        <f aca="false">COUNTIF(BR7:BR26,"?*")</f>
        <v>0</v>
      </c>
      <c r="BS27" s="14" t="n">
        <f aca="false">COUNTIF(BS7:BS26,"?*")</f>
        <v>0</v>
      </c>
      <c r="BT27" s="14" t="n">
        <f aca="false">COUNTIF(BT7:BT26,"?*")</f>
        <v>0</v>
      </c>
      <c r="BU27" s="14" t="n">
        <f aca="false">COUNTIF(BU7:BU26,"?*")</f>
        <v>0</v>
      </c>
      <c r="BV27" s="14" t="n">
        <f aca="false">COUNTIF(BV7:BV26,"?*")</f>
        <v>0</v>
      </c>
      <c r="BW27" s="14" t="n">
        <f aca="false">COUNTIF(BW7:BW26,"?*")</f>
        <v>1</v>
      </c>
      <c r="BX27" s="14" t="n">
        <f aca="false">COUNTIF(BX7:BX26,"?*")</f>
        <v>1</v>
      </c>
      <c r="BY27" s="14" t="n">
        <f aca="false">COUNTIF(BY7:BY26,"?*")</f>
        <v>1</v>
      </c>
      <c r="BZ27" s="14" t="n">
        <f aca="false">COUNTIF(BZ7:BZ26,"?*")</f>
        <v>1</v>
      </c>
      <c r="CA27" s="14" t="n">
        <f aca="false">COUNTIF(CA7:CA26,"?*")</f>
        <v>1</v>
      </c>
      <c r="CB27" s="14" t="n">
        <f aca="false">COUNTIF(CB7:CB26,"?*")</f>
        <v>0</v>
      </c>
      <c r="CC27" s="14" t="n">
        <f aca="false">COUNTIF(CC7:CC26,"?*")</f>
        <v>0</v>
      </c>
      <c r="CD27" s="14" t="n">
        <f aca="false">COUNTIF(CD7:CD26,"?*")</f>
        <v>1</v>
      </c>
      <c r="CE27" s="14" t="n">
        <f aca="false">COUNTIF(CE7:CE26,"?*")</f>
        <v>1</v>
      </c>
      <c r="CF27" s="14" t="n">
        <f aca="false">COUNTIF(CF7:CF26,"?*")</f>
        <v>1</v>
      </c>
      <c r="CG27" s="14" t="n">
        <f aca="false">COUNTIF(CG7:CG26,"?*")</f>
        <v>1</v>
      </c>
      <c r="CH27" s="14" t="n">
        <f aca="false">COUNTIF(CH7:CH26,"?*")</f>
        <v>1</v>
      </c>
      <c r="CI27" s="14" t="n">
        <f aca="false">COUNTIF(CI7:CI26,"?*")</f>
        <v>0</v>
      </c>
      <c r="CJ27" s="14" t="n">
        <f aca="false">COUNTIF(CJ7:CJ26,"?*")</f>
        <v>0</v>
      </c>
      <c r="CK27" s="14" t="n">
        <f aca="false">COUNTIF(CK7:CK26,"?*")</f>
        <v>1</v>
      </c>
      <c r="CL27" s="14" t="n">
        <f aca="false">COUNTIF(CL7:CL26,"?*")</f>
        <v>1</v>
      </c>
      <c r="CM27" s="14" t="n">
        <f aca="false">COUNTIF(CM7:CM26,"?*")</f>
        <v>1</v>
      </c>
      <c r="CN27" s="14" t="n">
        <f aca="false">COUNTIF(CN7:CN26,"?*")</f>
        <v>1</v>
      </c>
      <c r="CO27" s="14" t="n">
        <f aca="false">COUNTIF(CO7:CO26,"?*")</f>
        <v>0</v>
      </c>
      <c r="CP27" s="14" t="n">
        <f aca="false">COUNTIF(CP7:CP26,"?*")</f>
        <v>0</v>
      </c>
      <c r="CQ27" s="14" t="n">
        <f aca="false">COUNTIF(CQ7:CQ26,"?*")</f>
        <v>0</v>
      </c>
      <c r="CR27" s="14" t="n">
        <f aca="false">COUNTIF(CR7:CR26,"?*")</f>
        <v>0</v>
      </c>
      <c r="CS27" s="14" t="n">
        <f aca="false">COUNTIF(CS7:CS26,"?*")</f>
        <v>0</v>
      </c>
      <c r="CT27" s="14" t="n">
        <f aca="false">COUNTIF(CT7:CT26,"?*")</f>
        <v>0</v>
      </c>
      <c r="CU27" s="14" t="n">
        <f aca="false">COUNTIF(CU7:CU26,"?*")</f>
        <v>0</v>
      </c>
    </row>
    <row r="28" customFormat="false" ht="15" hidden="false" customHeight="false" outlineLevel="0" collapsed="false">
      <c r="A28" s="3" t="s">
        <v>28</v>
      </c>
      <c r="H28" s="15" t="str">
        <f aca="false">IF(H27&gt;Setup!$B$6,"!","")</f>
        <v/>
      </c>
      <c r="I28" s="15" t="str">
        <f aca="false">IF(I27&gt;Setup!$B$6,"!","")</f>
        <v/>
      </c>
      <c r="J28" s="15" t="str">
        <f aca="false">IF(J27&gt;Setup!$B$6,"!","")</f>
        <v/>
      </c>
      <c r="K28" s="15" t="str">
        <f aca="false">IF(K27&gt;Setup!$B$6,"!","")</f>
        <v/>
      </c>
      <c r="L28" s="15" t="str">
        <f aca="false">IF(L27&gt;Setup!$B$6,"!","")</f>
        <v/>
      </c>
      <c r="M28" s="15" t="str">
        <f aca="false">IF(M27&gt;Setup!$B$6,"!","")</f>
        <v/>
      </c>
      <c r="N28" s="15" t="str">
        <f aca="false">IF(N27&gt;Setup!$B$6,"!","")</f>
        <v/>
      </c>
      <c r="O28" s="15" t="str">
        <f aca="false">IF(O27&gt;Setup!$B$6,"!","")</f>
        <v/>
      </c>
      <c r="P28" s="15" t="str">
        <f aca="false">IF(P27&gt;Setup!$B$6,"!","")</f>
        <v/>
      </c>
      <c r="Q28" s="15" t="str">
        <f aca="false">IF(Q27&gt;Setup!$B$6,"!","")</f>
        <v/>
      </c>
      <c r="R28" s="15" t="str">
        <f aca="false">IF(R27&gt;Setup!$B$6,"!","")</f>
        <v/>
      </c>
      <c r="S28" s="15" t="str">
        <f aca="false">IF(S27&gt;Setup!$B$6,"!","")</f>
        <v/>
      </c>
      <c r="T28" s="15" t="str">
        <f aca="false">IF(T27&gt;Setup!$B$6,"!","")</f>
        <v/>
      </c>
      <c r="U28" s="15" t="str">
        <f aca="false">IF(U27&gt;Setup!$B$6,"!","")</f>
        <v/>
      </c>
      <c r="V28" s="15" t="str">
        <f aca="false">IF(V27&gt;Setup!$B$6,"!","")</f>
        <v/>
      </c>
      <c r="W28" s="15" t="str">
        <f aca="false">IF(W27&gt;Setup!$B$6,"!","")</f>
        <v/>
      </c>
      <c r="X28" s="15" t="str">
        <f aca="false">IF(X27&gt;Setup!$B$6,"!","")</f>
        <v/>
      </c>
      <c r="Y28" s="15" t="str">
        <f aca="false">IF(Y27&gt;Setup!$B$6,"!","")</f>
        <v/>
      </c>
      <c r="Z28" s="15" t="str">
        <f aca="false">IF(Z27&gt;Setup!$B$6,"!","")</f>
        <v/>
      </c>
      <c r="AA28" s="15" t="str">
        <f aca="false">IF(AA27&gt;Setup!$B$6,"!","")</f>
        <v/>
      </c>
      <c r="AB28" s="15" t="str">
        <f aca="false">IF(AB27&gt;Setup!$B$6,"!","")</f>
        <v/>
      </c>
      <c r="AC28" s="15" t="str">
        <f aca="false">IF(AC27&gt;Setup!$B$6,"!","")</f>
        <v/>
      </c>
      <c r="AD28" s="15" t="str">
        <f aca="false">IF(AD27&gt;Setup!$B$6,"!","")</f>
        <v/>
      </c>
      <c r="AE28" s="15" t="str">
        <f aca="false">IF(AE27&gt;Setup!$B$6,"!","")</f>
        <v/>
      </c>
      <c r="AF28" s="15" t="str">
        <f aca="false">IF(AF27&gt;Setup!$B$6,"!","")</f>
        <v/>
      </c>
      <c r="AG28" s="15" t="str">
        <f aca="false">IF(AG27&gt;Setup!$B$6,"!","")</f>
        <v/>
      </c>
      <c r="AH28" s="15" t="str">
        <f aca="false">IF(AH27&gt;Setup!$B$6,"!","")</f>
        <v/>
      </c>
      <c r="AI28" s="15" t="str">
        <f aca="false">IF(AI27&gt;Setup!$B$6,"!","")</f>
        <v/>
      </c>
      <c r="AJ28" s="15" t="str">
        <f aca="false">IF(AJ27&gt;Setup!$B$6,"!","")</f>
        <v/>
      </c>
      <c r="AK28" s="15" t="str">
        <f aca="false">IF(AK27&gt;Setup!$B$6,"!","")</f>
        <v/>
      </c>
      <c r="AL28" s="15" t="str">
        <f aca="false">IF(AL27&gt;Setup!$B$6,"!","")</f>
        <v/>
      </c>
      <c r="AM28" s="15" t="str">
        <f aca="false">IF(AM27&gt;Setup!$B$6,"!","")</f>
        <v/>
      </c>
      <c r="AN28" s="15" t="str">
        <f aca="false">IF(AN27&gt;Setup!$B$6,"!","")</f>
        <v/>
      </c>
      <c r="AO28" s="15" t="str">
        <f aca="false">IF(AO27&gt;Setup!$B$6,"!","")</f>
        <v/>
      </c>
      <c r="AP28" s="15" t="str">
        <f aca="false">IF(AP27&gt;Setup!$B$6,"!","")</f>
        <v/>
      </c>
      <c r="AQ28" s="15" t="str">
        <f aca="false">IF(AQ27&gt;Setup!$B$6,"!","")</f>
        <v/>
      </c>
      <c r="AR28" s="15" t="str">
        <f aca="false">IF(AR27&gt;Setup!$B$6,"!","")</f>
        <v/>
      </c>
      <c r="AS28" s="15" t="str">
        <f aca="false">IF(AS27&gt;Setup!$B$6,"!","")</f>
        <v/>
      </c>
      <c r="AT28" s="15" t="str">
        <f aca="false">IF(AT27&gt;Setup!$B$6,"!","")</f>
        <v/>
      </c>
      <c r="AU28" s="15" t="str">
        <f aca="false">IF(AU27&gt;Setup!$B$6,"!","")</f>
        <v/>
      </c>
      <c r="AV28" s="15" t="str">
        <f aca="false">IF(AV27&gt;Setup!$B$6,"!","")</f>
        <v/>
      </c>
      <c r="AW28" s="15" t="str">
        <f aca="false">IF(AW27&gt;Setup!$B$6,"!","")</f>
        <v/>
      </c>
      <c r="AX28" s="15" t="str">
        <f aca="false">IF(AX27&gt;Setup!$B$6,"!","")</f>
        <v/>
      </c>
      <c r="AY28" s="15" t="str">
        <f aca="false">IF(AY27&gt;Setup!$B$6,"!","")</f>
        <v/>
      </c>
      <c r="AZ28" s="15" t="str">
        <f aca="false">IF(AZ27&gt;Setup!$B$6,"!","")</f>
        <v/>
      </c>
      <c r="BA28" s="15" t="str">
        <f aca="false">IF(BA27&gt;Setup!$B$6,"!","")</f>
        <v/>
      </c>
      <c r="BB28" s="15" t="str">
        <f aca="false">IF(BB27&gt;Setup!$B$6,"!","")</f>
        <v/>
      </c>
      <c r="BC28" s="15" t="str">
        <f aca="false">IF(BC27&gt;Setup!$B$6,"!","")</f>
        <v/>
      </c>
      <c r="BD28" s="15" t="str">
        <f aca="false">IF(BD27&gt;Setup!$B$6,"!","")</f>
        <v/>
      </c>
      <c r="BE28" s="15" t="str">
        <f aca="false">IF(BE27&gt;Setup!$B$6,"!","")</f>
        <v/>
      </c>
      <c r="BF28" s="15" t="str">
        <f aca="false">IF(BF27&gt;Setup!$B$6,"!","")</f>
        <v/>
      </c>
      <c r="BG28" s="15" t="str">
        <f aca="false">IF(BG27&gt;Setup!$B$6,"!","")</f>
        <v/>
      </c>
      <c r="BH28" s="15" t="str">
        <f aca="false">IF(BH27&gt;Setup!$B$6,"!","")</f>
        <v/>
      </c>
      <c r="BI28" s="15" t="str">
        <f aca="false">IF(BI27&gt;Setup!$B$6,"!","")</f>
        <v/>
      </c>
      <c r="BJ28" s="15" t="str">
        <f aca="false">IF(BJ27&gt;Setup!$B$6,"!","")</f>
        <v/>
      </c>
      <c r="BK28" s="15" t="str">
        <f aca="false">IF(BK27&gt;Setup!$B$6,"!","")</f>
        <v/>
      </c>
      <c r="BL28" s="15" t="str">
        <f aca="false">IF(BL27&gt;Setup!$B$6,"!","")</f>
        <v/>
      </c>
      <c r="BM28" s="15" t="str">
        <f aca="false">IF(BM27&gt;Setup!$B$6,"!","")</f>
        <v/>
      </c>
      <c r="BN28" s="15" t="str">
        <f aca="false">IF(BN27&gt;Setup!$B$6,"!","")</f>
        <v/>
      </c>
      <c r="BO28" s="15" t="str">
        <f aca="false">IF(BO27&gt;Setup!$B$6,"!","")</f>
        <v/>
      </c>
      <c r="BP28" s="15" t="str">
        <f aca="false">IF(BP27&gt;Setup!$B$6,"!","")</f>
        <v/>
      </c>
      <c r="BQ28" s="15" t="str">
        <f aca="false">IF(BQ27&gt;Setup!$B$6,"!","")</f>
        <v/>
      </c>
      <c r="BR28" s="15" t="str">
        <f aca="false">IF(BR27&gt;Setup!$B$6,"!","")</f>
        <v/>
      </c>
      <c r="BS28" s="15" t="str">
        <f aca="false">IF(BS27&gt;Setup!$B$6,"!","")</f>
        <v/>
      </c>
      <c r="BT28" s="15" t="str">
        <f aca="false">IF(BT27&gt;Setup!$B$6,"!","")</f>
        <v/>
      </c>
      <c r="BU28" s="15" t="str">
        <f aca="false">IF(BU27&gt;Setup!$B$6,"!","")</f>
        <v/>
      </c>
      <c r="BV28" s="15" t="str">
        <f aca="false">IF(BV27&gt;Setup!$B$6,"!","")</f>
        <v/>
      </c>
      <c r="BW28" s="15" t="str">
        <f aca="false">IF(BW27&gt;Setup!$B$6,"!","")</f>
        <v/>
      </c>
      <c r="BX28" s="15" t="str">
        <f aca="false">IF(BX27&gt;Setup!$B$6,"!","")</f>
        <v/>
      </c>
      <c r="BY28" s="15" t="str">
        <f aca="false">IF(BY27&gt;Setup!$B$6,"!","")</f>
        <v/>
      </c>
      <c r="BZ28" s="15" t="str">
        <f aca="false">IF(BZ27&gt;Setup!$B$6,"!","")</f>
        <v/>
      </c>
      <c r="CA28" s="15" t="str">
        <f aca="false">IF(CA27&gt;Setup!$B$6,"!","")</f>
        <v/>
      </c>
      <c r="CB28" s="15" t="str">
        <f aca="false">IF(CB27&gt;Setup!$B$6,"!","")</f>
        <v/>
      </c>
      <c r="CC28" s="15" t="str">
        <f aca="false">IF(CC27&gt;Setup!$B$6,"!","")</f>
        <v/>
      </c>
      <c r="CD28" s="15" t="str">
        <f aca="false">IF(CD27&gt;Setup!$B$6,"!","")</f>
        <v/>
      </c>
      <c r="CE28" s="15" t="str">
        <f aca="false">IF(CE27&gt;Setup!$B$6,"!","")</f>
        <v/>
      </c>
      <c r="CF28" s="15" t="str">
        <f aca="false">IF(CF27&gt;Setup!$B$6,"!","")</f>
        <v/>
      </c>
      <c r="CG28" s="15" t="str">
        <f aca="false">IF(CG27&gt;Setup!$B$6,"!","")</f>
        <v/>
      </c>
      <c r="CH28" s="15" t="str">
        <f aca="false">IF(CH27&gt;Setup!$B$6,"!","")</f>
        <v/>
      </c>
      <c r="CI28" s="15" t="str">
        <f aca="false">IF(CI27&gt;Setup!$B$6,"!","")</f>
        <v/>
      </c>
      <c r="CJ28" s="15" t="str">
        <f aca="false">IF(CJ27&gt;Setup!$B$6,"!","")</f>
        <v/>
      </c>
      <c r="CK28" s="15" t="str">
        <f aca="false">IF(CK27&gt;Setup!$B$6,"!","")</f>
        <v/>
      </c>
      <c r="CL28" s="15" t="str">
        <f aca="false">IF(CL27&gt;Setup!$B$6,"!","")</f>
        <v/>
      </c>
      <c r="CM28" s="15" t="str">
        <f aca="false">IF(CM27&gt;Setup!$B$6,"!","")</f>
        <v/>
      </c>
      <c r="CN28" s="15" t="str">
        <f aca="false">IF(CN27&gt;Setup!$B$6,"!","")</f>
        <v/>
      </c>
      <c r="CO28" s="15" t="str">
        <f aca="false">IF(CO27&gt;Setup!$B$6,"!","")</f>
        <v/>
      </c>
      <c r="CP28" s="15" t="str">
        <f aca="false">IF(CP27&gt;Setup!$B$6,"!","")</f>
        <v/>
      </c>
      <c r="CQ28" s="15" t="str">
        <f aca="false">IF(CQ27&gt;Setup!$B$6,"!","")</f>
        <v/>
      </c>
      <c r="CR28" s="15" t="str">
        <f aca="false">IF(CR27&gt;Setup!$B$6,"!","")</f>
        <v/>
      </c>
      <c r="CS28" s="15" t="str">
        <f aca="false">IF(CS27&gt;Setup!$B$6,"!","")</f>
        <v/>
      </c>
      <c r="CT28" s="15" t="str">
        <f aca="false">IF(CT27&gt;Setup!$B$6,"!","")</f>
        <v/>
      </c>
      <c r="CU28" s="15" t="str">
        <f aca="false">IF(CU27&gt;Setup!$B$6,"!","")</f>
        <v/>
      </c>
    </row>
    <row r="31" customFormat="false" ht="15" hidden="false" customHeight="false" outlineLevel="0" collapsed="false">
      <c r="A31" s="3" t="s">
        <v>29</v>
      </c>
    </row>
    <row r="32" customFormat="false" ht="15" hidden="false" customHeight="false" outlineLevel="0" collapsed="false">
      <c r="A32" s="16" t="s">
        <v>30</v>
      </c>
    </row>
    <row r="33" customFormat="false" ht="15" hidden="false" customHeight="false" outlineLevel="0" collapsed="false">
      <c r="A33" s="16" t="s">
        <v>31</v>
      </c>
    </row>
    <row r="34" customFormat="false" ht="15" hidden="false" customHeight="false" outlineLevel="0" collapsed="false">
      <c r="A34" s="16" t="s">
        <v>32</v>
      </c>
    </row>
    <row r="35" customFormat="false" ht="15" hidden="false" customHeight="false" outlineLevel="0" collapsed="false">
      <c r="A35" s="16" t="s">
        <v>33</v>
      </c>
    </row>
    <row r="36" customFormat="false" ht="15" hidden="false" customHeight="false" outlineLevel="0" collapsed="false">
      <c r="A36" s="16" t="s">
        <v>34</v>
      </c>
    </row>
    <row r="38" customFormat="false" ht="15" hidden="false" customHeight="false" outlineLevel="0" collapsed="false">
      <c r="A38" s="3" t="s">
        <v>35</v>
      </c>
    </row>
    <row r="39" customFormat="false" ht="15" hidden="false" customHeight="false" outlineLevel="0" collapsed="false">
      <c r="A39" s="17" t="s">
        <v>36</v>
      </c>
    </row>
    <row r="40" customFormat="false" ht="15" hidden="false" customHeight="false" outlineLevel="0" collapsed="false">
      <c r="A40" s="18" t="s">
        <v>37</v>
      </c>
    </row>
    <row r="41" customFormat="false" ht="15" hidden="false" customHeight="false" outlineLevel="0" collapsed="false">
      <c r="A41" s="19" t="s">
        <v>38</v>
      </c>
    </row>
    <row r="42" customFormat="false" ht="15" hidden="false" customHeight="false" outlineLevel="0" collapsed="false">
      <c r="A42" s="20" t="s">
        <v>39</v>
      </c>
    </row>
    <row r="43" customFormat="false" ht="15" hidden="false" customHeight="false" outlineLevel="0" collapsed="false">
      <c r="A43" s="21" t="s">
        <v>40</v>
      </c>
    </row>
  </sheetData>
  <conditionalFormatting sqref="B3:C3">
    <cfRule type="expression" priority="2" aboveAverage="0" equalAverage="0" bottom="0" percent="0" rank="0" text="" dxfId="0">
      <formula>$B$3&gt;0</formula>
    </cfRule>
    <cfRule type="expression" priority="3" aboveAverage="0" equalAverage="0" bottom="0" percent="0" rank="0" text="" dxfId="1">
      <formula>$B$3=0</formula>
    </cfRule>
  </conditionalFormatting>
  <conditionalFormatting sqref="H7:CU26">
    <cfRule type="expression" priority="4" aboveAverage="0" equalAverage="0" bottom="0" percent="0" rank="0" text="" dxfId="0">
      <formula>AND($A7&lt;&gt;"",H7&lt;&gt;"",OR(COUNTIFS($B$7:$B$26,$B7,H$7:H$26,"?*")&gt;Setup!$B$5,COUNTIF(H$7:H$26,"?*")&gt;Setup!$B$6))</formula>
    </cfRule>
    <cfRule type="expression" priority="5" aboveAverage="0" equalAverage="0" bottom="0" percent="0" rank="0" text="" dxfId="2">
      <formula>H7="AL"</formula>
    </cfRule>
    <cfRule type="expression" priority="6" aboveAverage="0" equalAverage="0" bottom="0" percent="0" rank="0" text="" dxfId="3">
      <formula>H7="SL"</formula>
    </cfRule>
    <cfRule type="expression" priority="7" aboveAverage="0" equalAverage="0" bottom="0" percent="0" rank="0" text="" dxfId="4">
      <formula>H7="CL"</formula>
    </cfRule>
    <cfRule type="expression" priority="8" aboveAverage="0" equalAverage="0" bottom="0" percent="0" rank="0" text="" dxfId="5">
      <formula>H7="UL"</formula>
    </cfRule>
    <cfRule type="expression" priority="9" aboveAverage="0" equalAverage="0" bottom="0" percent="0" rank="0" text="" dxfId="6">
      <formula>H7="OT"</formula>
    </cfRule>
  </conditionalFormatting>
  <conditionalFormatting sqref="H7:CU28">
    <cfRule type="expression" priority="10" aboveAverage="0" equalAverage="0" bottom="0" percent="0" rank="0" text="" dxfId="7">
      <formula>OR(WEEKDAY(H$6,2)&gt;5,COUNTIF(Setup!$G$9:$G$20,H$6)&gt;0)</formula>
    </cfRule>
  </conditionalFormatting>
  <conditionalFormatting sqref="F7:F26">
    <cfRule type="expression" priority="11" aboveAverage="0" equalAverage="0" bottom="0" percent="0" rank="0" text="" dxfId="8">
      <formula>AND(F7&lt;&gt;"",F7&lt;0)</formula>
    </cfRule>
  </conditionalFormatting>
  <dataValidations count="1">
    <dataValidation allowBlank="true" error="Either this is not a valid leave code (AL, SL, CL, UL, OT), or entering it would put too many colleagues off on this day (same department or whole office limit on Setup). Continue anyway?" errorStyle="warning" errorTitle="Leave clash or invalid code" operator="between" showDropDown="false" showErrorMessage="true" showInputMessage="false" sqref="H7:CU26" type="custom">
      <formula1>AND(COUNTIF(Setup!$A$9:$A$13,H7)&gt;0,COUNTIFS($B$7:$B$26,$B7,H$7:H$26,"?*")&lt;=Setup!$B$5,COUNTIF(H$7:H$26,"?*")&lt;=Setup!$B$6)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14"/>
    <col collapsed="false" customWidth="true" hidden="false" outlineLevel="0" max="5" min="4" style="0" width="3"/>
    <col collapsed="false" customWidth="true" hidden="false" outlineLevel="0" max="6" min="6" style="0" width="22"/>
    <col collapsed="false" customWidth="true" hidden="false" outlineLevel="0" max="7" min="7" style="0" width="14"/>
  </cols>
  <sheetData>
    <row r="1" customFormat="false" ht="19.7" hidden="false" customHeight="false" outlineLevel="0" collapsed="false">
      <c r="A1" s="1" t="s">
        <v>41</v>
      </c>
    </row>
    <row r="2" customFormat="false" ht="15" hidden="false" customHeight="false" outlineLevel="0" collapsed="false">
      <c r="A2" s="2" t="s">
        <v>42</v>
      </c>
    </row>
    <row r="4" customFormat="false" ht="15" hidden="false" customHeight="false" outlineLevel="0" collapsed="false">
      <c r="A4" s="3" t="s">
        <v>43</v>
      </c>
      <c r="B4" s="22" t="n">
        <v>46296</v>
      </c>
    </row>
    <row r="5" customFormat="false" ht="15" hidden="false" customHeight="false" outlineLevel="0" collapsed="false">
      <c r="A5" s="3" t="s">
        <v>44</v>
      </c>
      <c r="B5" s="10" t="n">
        <v>1</v>
      </c>
      <c r="C5" s="23" t="s">
        <v>45</v>
      </c>
    </row>
    <row r="6" customFormat="false" ht="15" hidden="false" customHeight="false" outlineLevel="0" collapsed="false">
      <c r="A6" s="3" t="s">
        <v>46</v>
      </c>
      <c r="B6" s="10" t="n">
        <v>3</v>
      </c>
      <c r="C6" s="23" t="s">
        <v>47</v>
      </c>
    </row>
    <row r="8" customFormat="false" ht="15" hidden="false" customHeight="false" outlineLevel="0" collapsed="false">
      <c r="A8" s="24" t="s">
        <v>48</v>
      </c>
      <c r="B8" s="24" t="s">
        <v>49</v>
      </c>
      <c r="C8" s="24" t="s">
        <v>50</v>
      </c>
      <c r="F8" s="24" t="s">
        <v>51</v>
      </c>
      <c r="G8" s="24" t="s">
        <v>52</v>
      </c>
    </row>
    <row r="9" customFormat="false" ht="15" hidden="false" customHeight="false" outlineLevel="0" collapsed="false">
      <c r="A9" s="11" t="s">
        <v>12</v>
      </c>
      <c r="B9" s="11" t="s">
        <v>53</v>
      </c>
      <c r="C9" s="25"/>
      <c r="F9" s="11" t="s">
        <v>54</v>
      </c>
      <c r="G9" s="26" t="n">
        <v>46296</v>
      </c>
    </row>
    <row r="10" customFormat="false" ht="15" hidden="false" customHeight="false" outlineLevel="0" collapsed="false">
      <c r="A10" s="11" t="s">
        <v>14</v>
      </c>
      <c r="B10" s="11" t="s">
        <v>55</v>
      </c>
      <c r="C10" s="27"/>
      <c r="F10" s="11" t="s">
        <v>56</v>
      </c>
      <c r="G10" s="26" t="n">
        <v>46381</v>
      </c>
    </row>
    <row r="11" customFormat="false" ht="15" hidden="false" customHeight="false" outlineLevel="0" collapsed="false">
      <c r="A11" s="11" t="s">
        <v>57</v>
      </c>
      <c r="B11" s="11" t="s">
        <v>58</v>
      </c>
      <c r="C11" s="28"/>
      <c r="F11" s="11" t="s">
        <v>59</v>
      </c>
      <c r="G11" s="26" t="n">
        <v>46382</v>
      </c>
    </row>
    <row r="12" customFormat="false" ht="15" hidden="false" customHeight="false" outlineLevel="0" collapsed="false">
      <c r="A12" s="11" t="s">
        <v>60</v>
      </c>
      <c r="B12" s="11" t="s">
        <v>61</v>
      </c>
      <c r="C12" s="29"/>
      <c r="F12" s="11"/>
      <c r="G12" s="26"/>
    </row>
    <row r="13" customFormat="false" ht="15" hidden="false" customHeight="false" outlineLevel="0" collapsed="false">
      <c r="A13" s="11" t="s">
        <v>20</v>
      </c>
      <c r="B13" s="11" t="s">
        <v>62</v>
      </c>
      <c r="C13" s="30"/>
      <c r="F13" s="11"/>
      <c r="G13" s="26"/>
    </row>
    <row r="14" customFormat="false" ht="15" hidden="false" customHeight="false" outlineLevel="0" collapsed="false">
      <c r="F14" s="11"/>
      <c r="G14" s="26"/>
    </row>
    <row r="15" customFormat="false" ht="15" hidden="false" customHeight="false" outlineLevel="0" collapsed="false">
      <c r="A15" s="23" t="s">
        <v>63</v>
      </c>
      <c r="F15" s="11"/>
      <c r="G15" s="26"/>
    </row>
    <row r="16" customFormat="false" ht="15" hidden="false" customHeight="false" outlineLevel="0" collapsed="false">
      <c r="F16" s="11"/>
      <c r="G16" s="26"/>
    </row>
    <row r="17" customFormat="false" ht="15" hidden="false" customHeight="false" outlineLevel="0" collapsed="false">
      <c r="F17" s="11"/>
      <c r="G17" s="26"/>
    </row>
    <row r="18" customFormat="false" ht="15" hidden="false" customHeight="false" outlineLevel="0" collapsed="false">
      <c r="F18" s="11"/>
      <c r="G18" s="26"/>
    </row>
    <row r="19" customFormat="false" ht="15" hidden="false" customHeight="false" outlineLevel="0" collapsed="false">
      <c r="F19" s="11"/>
      <c r="G19" s="26"/>
    </row>
    <row r="20" customFormat="false" ht="15" hidden="false" customHeight="false" outlineLevel="0" collapsed="false">
      <c r="F20" s="11"/>
      <c r="G20" s="26"/>
    </row>
    <row r="21" customFormat="false" ht="15" hidden="false" customHeight="false" outlineLevel="0" collapsed="false">
      <c r="F21" s="23"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6" topLeftCell="H7" activePane="bottomRight" state="frozen"/>
      <selection pane="topLeft" activeCell="A1" activeCellId="0" sqref="A1"/>
      <selection pane="topRight" activeCell="H1" activeCellId="0" sqref="H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7" min="3" style="0" width="2"/>
    <col collapsed="false" customWidth="true" hidden="false" outlineLevel="0" max="99" min="8" style="0" width="5"/>
  </cols>
  <sheetData>
    <row r="1" customFormat="false" ht="17.35" hidden="false" customHeight="false" outlineLevel="0" collapsed="false">
      <c r="A1" s="31" t="s">
        <v>65</v>
      </c>
    </row>
    <row r="2" customFormat="false" ht="15" hidden="false" customHeight="false" outlineLevel="0" collapsed="false">
      <c r="A2" s="2" t="s">
        <v>66</v>
      </c>
    </row>
    <row r="6" customFormat="false" ht="48" hidden="false" customHeight="true" outlineLevel="0" collapsed="false">
      <c r="A6" s="6" t="s">
        <v>3</v>
      </c>
      <c r="B6" s="6" t="s">
        <v>4</v>
      </c>
      <c r="H6" s="32" t="n">
        <f aca="false">Roster!H6</f>
        <v>46296</v>
      </c>
      <c r="I6" s="32" t="n">
        <f aca="false">Roster!I6</f>
        <v>46297</v>
      </c>
      <c r="J6" s="32" t="n">
        <f aca="false">Roster!J6</f>
        <v>46298</v>
      </c>
      <c r="K6" s="32" t="n">
        <f aca="false">Roster!K6</f>
        <v>46299</v>
      </c>
      <c r="L6" s="32" t="n">
        <f aca="false">Roster!L6</f>
        <v>46300</v>
      </c>
      <c r="M6" s="32" t="n">
        <f aca="false">Roster!M6</f>
        <v>46301</v>
      </c>
      <c r="N6" s="32" t="n">
        <f aca="false">Roster!N6</f>
        <v>46302</v>
      </c>
      <c r="O6" s="32" t="n">
        <f aca="false">Roster!O6</f>
        <v>46303</v>
      </c>
      <c r="P6" s="32" t="n">
        <f aca="false">Roster!P6</f>
        <v>46304</v>
      </c>
      <c r="Q6" s="32" t="n">
        <f aca="false">Roster!Q6</f>
        <v>46305</v>
      </c>
      <c r="R6" s="32" t="n">
        <f aca="false">Roster!R6</f>
        <v>46306</v>
      </c>
      <c r="S6" s="32" t="n">
        <f aca="false">Roster!S6</f>
        <v>46307</v>
      </c>
      <c r="T6" s="32" t="n">
        <f aca="false">Roster!T6</f>
        <v>46308</v>
      </c>
      <c r="U6" s="32" t="n">
        <f aca="false">Roster!U6</f>
        <v>46309</v>
      </c>
      <c r="V6" s="32" t="n">
        <f aca="false">Roster!V6</f>
        <v>46310</v>
      </c>
      <c r="W6" s="32" t="n">
        <f aca="false">Roster!W6</f>
        <v>46311</v>
      </c>
      <c r="X6" s="32" t="n">
        <f aca="false">Roster!X6</f>
        <v>46312</v>
      </c>
      <c r="Y6" s="32" t="n">
        <f aca="false">Roster!Y6</f>
        <v>46313</v>
      </c>
      <c r="Z6" s="32" t="n">
        <f aca="false">Roster!Z6</f>
        <v>46314</v>
      </c>
      <c r="AA6" s="32" t="n">
        <f aca="false">Roster!AA6</f>
        <v>46315</v>
      </c>
      <c r="AB6" s="32" t="n">
        <f aca="false">Roster!AB6</f>
        <v>46316</v>
      </c>
      <c r="AC6" s="32" t="n">
        <f aca="false">Roster!AC6</f>
        <v>46317</v>
      </c>
      <c r="AD6" s="32" t="n">
        <f aca="false">Roster!AD6</f>
        <v>46318</v>
      </c>
      <c r="AE6" s="32" t="n">
        <f aca="false">Roster!AE6</f>
        <v>46319</v>
      </c>
      <c r="AF6" s="32" t="n">
        <f aca="false">Roster!AF6</f>
        <v>46320</v>
      </c>
      <c r="AG6" s="32" t="n">
        <f aca="false">Roster!AG6</f>
        <v>46321</v>
      </c>
      <c r="AH6" s="32" t="n">
        <f aca="false">Roster!AH6</f>
        <v>46322</v>
      </c>
      <c r="AI6" s="32" t="n">
        <f aca="false">Roster!AI6</f>
        <v>46323</v>
      </c>
      <c r="AJ6" s="32" t="n">
        <f aca="false">Roster!AJ6</f>
        <v>46324</v>
      </c>
      <c r="AK6" s="32" t="n">
        <f aca="false">Roster!AK6</f>
        <v>46325</v>
      </c>
      <c r="AL6" s="32" t="n">
        <f aca="false">Roster!AL6</f>
        <v>46326</v>
      </c>
      <c r="AM6" s="32" t="n">
        <f aca="false">Roster!AM6</f>
        <v>46327</v>
      </c>
      <c r="AN6" s="32" t="n">
        <f aca="false">Roster!AN6</f>
        <v>46328</v>
      </c>
      <c r="AO6" s="32" t="n">
        <f aca="false">Roster!AO6</f>
        <v>46329</v>
      </c>
      <c r="AP6" s="32" t="n">
        <f aca="false">Roster!AP6</f>
        <v>46330</v>
      </c>
      <c r="AQ6" s="32" t="n">
        <f aca="false">Roster!AQ6</f>
        <v>46331</v>
      </c>
      <c r="AR6" s="32" t="n">
        <f aca="false">Roster!AR6</f>
        <v>46332</v>
      </c>
      <c r="AS6" s="32" t="n">
        <f aca="false">Roster!AS6</f>
        <v>46333</v>
      </c>
      <c r="AT6" s="32" t="n">
        <f aca="false">Roster!AT6</f>
        <v>46334</v>
      </c>
      <c r="AU6" s="32" t="n">
        <f aca="false">Roster!AU6</f>
        <v>46335</v>
      </c>
      <c r="AV6" s="32" t="n">
        <f aca="false">Roster!AV6</f>
        <v>46336</v>
      </c>
      <c r="AW6" s="32" t="n">
        <f aca="false">Roster!AW6</f>
        <v>46337</v>
      </c>
      <c r="AX6" s="32" t="n">
        <f aca="false">Roster!AX6</f>
        <v>46338</v>
      </c>
      <c r="AY6" s="32" t="n">
        <f aca="false">Roster!AY6</f>
        <v>46339</v>
      </c>
      <c r="AZ6" s="32" t="n">
        <f aca="false">Roster!AZ6</f>
        <v>46340</v>
      </c>
      <c r="BA6" s="32" t="n">
        <f aca="false">Roster!BA6</f>
        <v>46341</v>
      </c>
      <c r="BB6" s="32" t="n">
        <f aca="false">Roster!BB6</f>
        <v>46342</v>
      </c>
      <c r="BC6" s="32" t="n">
        <f aca="false">Roster!BC6</f>
        <v>46343</v>
      </c>
      <c r="BD6" s="32" t="n">
        <f aca="false">Roster!BD6</f>
        <v>46344</v>
      </c>
      <c r="BE6" s="32" t="n">
        <f aca="false">Roster!BE6</f>
        <v>46345</v>
      </c>
      <c r="BF6" s="32" t="n">
        <f aca="false">Roster!BF6</f>
        <v>46346</v>
      </c>
      <c r="BG6" s="32" t="n">
        <f aca="false">Roster!BG6</f>
        <v>46347</v>
      </c>
      <c r="BH6" s="32" t="n">
        <f aca="false">Roster!BH6</f>
        <v>46348</v>
      </c>
      <c r="BI6" s="32" t="n">
        <f aca="false">Roster!BI6</f>
        <v>46349</v>
      </c>
      <c r="BJ6" s="32" t="n">
        <f aca="false">Roster!BJ6</f>
        <v>46350</v>
      </c>
      <c r="BK6" s="32" t="n">
        <f aca="false">Roster!BK6</f>
        <v>46351</v>
      </c>
      <c r="BL6" s="32" t="n">
        <f aca="false">Roster!BL6</f>
        <v>46352</v>
      </c>
      <c r="BM6" s="32" t="n">
        <f aca="false">Roster!BM6</f>
        <v>46353</v>
      </c>
      <c r="BN6" s="32" t="n">
        <f aca="false">Roster!BN6</f>
        <v>46354</v>
      </c>
      <c r="BO6" s="32" t="n">
        <f aca="false">Roster!BO6</f>
        <v>46355</v>
      </c>
      <c r="BP6" s="32" t="n">
        <f aca="false">Roster!BP6</f>
        <v>46356</v>
      </c>
      <c r="BQ6" s="32" t="n">
        <f aca="false">Roster!BQ6</f>
        <v>46357</v>
      </c>
      <c r="BR6" s="32" t="n">
        <f aca="false">Roster!BR6</f>
        <v>46358</v>
      </c>
      <c r="BS6" s="32" t="n">
        <f aca="false">Roster!BS6</f>
        <v>46359</v>
      </c>
      <c r="BT6" s="32" t="n">
        <f aca="false">Roster!BT6</f>
        <v>46360</v>
      </c>
      <c r="BU6" s="32" t="n">
        <f aca="false">Roster!BU6</f>
        <v>46361</v>
      </c>
      <c r="BV6" s="32" t="n">
        <f aca="false">Roster!BV6</f>
        <v>46362</v>
      </c>
      <c r="BW6" s="32" t="n">
        <f aca="false">Roster!BW6</f>
        <v>46363</v>
      </c>
      <c r="BX6" s="32" t="n">
        <f aca="false">Roster!BX6</f>
        <v>46364</v>
      </c>
      <c r="BY6" s="32" t="n">
        <f aca="false">Roster!BY6</f>
        <v>46365</v>
      </c>
      <c r="BZ6" s="32" t="n">
        <f aca="false">Roster!BZ6</f>
        <v>46366</v>
      </c>
      <c r="CA6" s="32" t="n">
        <f aca="false">Roster!CA6</f>
        <v>46367</v>
      </c>
      <c r="CB6" s="32" t="n">
        <f aca="false">Roster!CB6</f>
        <v>46368</v>
      </c>
      <c r="CC6" s="32" t="n">
        <f aca="false">Roster!CC6</f>
        <v>46369</v>
      </c>
      <c r="CD6" s="32" t="n">
        <f aca="false">Roster!CD6</f>
        <v>46370</v>
      </c>
      <c r="CE6" s="32" t="n">
        <f aca="false">Roster!CE6</f>
        <v>46371</v>
      </c>
      <c r="CF6" s="32" t="n">
        <f aca="false">Roster!CF6</f>
        <v>46372</v>
      </c>
      <c r="CG6" s="32" t="n">
        <f aca="false">Roster!CG6</f>
        <v>46373</v>
      </c>
      <c r="CH6" s="32" t="n">
        <f aca="false">Roster!CH6</f>
        <v>46374</v>
      </c>
      <c r="CI6" s="32" t="n">
        <f aca="false">Roster!CI6</f>
        <v>46375</v>
      </c>
      <c r="CJ6" s="32" t="n">
        <f aca="false">Roster!CJ6</f>
        <v>46376</v>
      </c>
      <c r="CK6" s="32" t="n">
        <f aca="false">Roster!CK6</f>
        <v>46377</v>
      </c>
      <c r="CL6" s="32" t="n">
        <f aca="false">Roster!CL6</f>
        <v>46378</v>
      </c>
      <c r="CM6" s="32" t="n">
        <f aca="false">Roster!CM6</f>
        <v>46379</v>
      </c>
      <c r="CN6" s="32" t="n">
        <f aca="false">Roster!CN6</f>
        <v>46380</v>
      </c>
      <c r="CO6" s="32" t="n">
        <f aca="false">Roster!CO6</f>
        <v>46381</v>
      </c>
      <c r="CP6" s="32" t="n">
        <f aca="false">Roster!CP6</f>
        <v>46382</v>
      </c>
      <c r="CQ6" s="32" t="n">
        <f aca="false">Roster!CQ6</f>
        <v>46383</v>
      </c>
      <c r="CR6" s="32" t="n">
        <f aca="false">Roster!CR6</f>
        <v>46384</v>
      </c>
      <c r="CS6" s="32" t="n">
        <f aca="false">Roster!CS6</f>
        <v>46385</v>
      </c>
      <c r="CT6" s="32" t="n">
        <f aca="false">Roster!CT6</f>
        <v>46386</v>
      </c>
      <c r="CU6" s="32" t="n">
        <f aca="false">Roster!CU6</f>
        <v>46387</v>
      </c>
    </row>
    <row r="7" customFormat="false" ht="15" hidden="false" customHeight="false" outlineLevel="0" collapsed="false">
      <c r="A7" s="33" t="str">
        <f aca="false">IF(Roster!A7="","",Roster!A7)</f>
        <v>Amina Yusuf</v>
      </c>
      <c r="B7" s="33" t="str">
        <f aca="false">IF(Roster!A7="","",Roster!B7)</f>
        <v>Operations</v>
      </c>
      <c r="H7" s="34" t="str">
        <f aca="false">IF(OR(Roster!$A7="",Roster!H7=""),"",IF(OR(COUNTIFS(Roster!$B$7:$B$26,Roster!$B7,Roster!H$7:H$26,"?*")&gt;Setup!$B$5,COUNTIF(Roster!H$7:H$26,"?*")&gt;Setup!$B$6),"CLASH","OK"))</f>
        <v/>
      </c>
      <c r="I7" s="34" t="str">
        <f aca="false">IF(OR(Roster!$A7="",Roster!I7=""),"",IF(OR(COUNTIFS(Roster!$B$7:$B$26,Roster!$B7,Roster!I$7:I$26,"?*")&gt;Setup!$B$5,COUNTIF(Roster!I$7:I$26,"?*")&gt;Setup!$B$6),"CLASH","OK"))</f>
        <v/>
      </c>
      <c r="J7" s="34" t="str">
        <f aca="false">IF(OR(Roster!$A7="",Roster!J7=""),"",IF(OR(COUNTIFS(Roster!$B$7:$B$26,Roster!$B7,Roster!J$7:J$26,"?*")&gt;Setup!$B$5,COUNTIF(Roster!J$7:J$26,"?*")&gt;Setup!$B$6),"CLASH","OK"))</f>
        <v/>
      </c>
      <c r="K7" s="34" t="str">
        <f aca="false">IF(OR(Roster!$A7="",Roster!K7=""),"",IF(OR(COUNTIFS(Roster!$B$7:$B$26,Roster!$B7,Roster!K$7:K$26,"?*")&gt;Setup!$B$5,COUNTIF(Roster!K$7:K$26,"?*")&gt;Setup!$B$6),"CLASH","OK"))</f>
        <v/>
      </c>
      <c r="L7" s="34" t="str">
        <f aca="false">IF(OR(Roster!$A7="",Roster!L7=""),"",IF(OR(COUNTIFS(Roster!$B$7:$B$26,Roster!$B7,Roster!L$7:L$26,"?*")&gt;Setup!$B$5,COUNTIF(Roster!L$7:L$26,"?*")&gt;Setup!$B$6),"CLASH","OK"))</f>
        <v/>
      </c>
      <c r="M7" s="34" t="str">
        <f aca="false">IF(OR(Roster!$A7="",Roster!M7=""),"",IF(OR(COUNTIFS(Roster!$B$7:$B$26,Roster!$B7,Roster!M$7:M$26,"?*")&gt;Setup!$B$5,COUNTIF(Roster!M$7:M$26,"?*")&gt;Setup!$B$6),"CLASH","OK"))</f>
        <v/>
      </c>
      <c r="N7" s="34" t="str">
        <f aca="false">IF(OR(Roster!$A7="",Roster!N7=""),"",IF(OR(COUNTIFS(Roster!$B$7:$B$26,Roster!$B7,Roster!N$7:N$26,"?*")&gt;Setup!$B$5,COUNTIF(Roster!N$7:N$26,"?*")&gt;Setup!$B$6),"CLASH","OK"))</f>
        <v/>
      </c>
      <c r="O7" s="34" t="str">
        <f aca="false">IF(OR(Roster!$A7="",Roster!O7=""),"",IF(OR(COUNTIFS(Roster!$B$7:$B$26,Roster!$B7,Roster!O$7:O$26,"?*")&gt;Setup!$B$5,COUNTIF(Roster!O$7:O$26,"?*")&gt;Setup!$B$6),"CLASH","OK"))</f>
        <v/>
      </c>
      <c r="P7" s="34" t="str">
        <f aca="false">IF(OR(Roster!$A7="",Roster!P7=""),"",IF(OR(COUNTIFS(Roster!$B$7:$B$26,Roster!$B7,Roster!P$7:P$26,"?*")&gt;Setup!$B$5,COUNTIF(Roster!P$7:P$26,"?*")&gt;Setup!$B$6),"CLASH","OK"))</f>
        <v/>
      </c>
      <c r="Q7" s="34" t="str">
        <f aca="false">IF(OR(Roster!$A7="",Roster!Q7=""),"",IF(OR(COUNTIFS(Roster!$B$7:$B$26,Roster!$B7,Roster!Q$7:Q$26,"?*")&gt;Setup!$B$5,COUNTIF(Roster!Q$7:Q$26,"?*")&gt;Setup!$B$6),"CLASH","OK"))</f>
        <v/>
      </c>
      <c r="R7" s="34" t="str">
        <f aca="false">IF(OR(Roster!$A7="",Roster!R7=""),"",IF(OR(COUNTIFS(Roster!$B$7:$B$26,Roster!$B7,Roster!R$7:R$26,"?*")&gt;Setup!$B$5,COUNTIF(Roster!R$7:R$26,"?*")&gt;Setup!$B$6),"CLASH","OK"))</f>
        <v/>
      </c>
      <c r="S7" s="34" t="str">
        <f aca="false">IF(OR(Roster!$A7="",Roster!S7=""),"",IF(OR(COUNTIFS(Roster!$B$7:$B$26,Roster!$B7,Roster!S$7:S$26,"?*")&gt;Setup!$B$5,COUNTIF(Roster!S$7:S$26,"?*")&gt;Setup!$B$6),"CLASH","OK"))</f>
        <v/>
      </c>
      <c r="T7" s="34" t="str">
        <f aca="false">IF(OR(Roster!$A7="",Roster!T7=""),"",IF(OR(COUNTIFS(Roster!$B$7:$B$26,Roster!$B7,Roster!T$7:T$26,"?*")&gt;Setup!$B$5,COUNTIF(Roster!T$7:T$26,"?*")&gt;Setup!$B$6),"CLASH","OK"))</f>
        <v/>
      </c>
      <c r="U7" s="34" t="str">
        <f aca="false">IF(OR(Roster!$A7="",Roster!U7=""),"",IF(OR(COUNTIFS(Roster!$B$7:$B$26,Roster!$B7,Roster!U$7:U$26,"?*")&gt;Setup!$B$5,COUNTIF(Roster!U$7:U$26,"?*")&gt;Setup!$B$6),"CLASH","OK"))</f>
        <v/>
      </c>
      <c r="V7" s="34" t="str">
        <f aca="false">IF(OR(Roster!$A7="",Roster!V7=""),"",IF(OR(COUNTIFS(Roster!$B$7:$B$26,Roster!$B7,Roster!V$7:V$26,"?*")&gt;Setup!$B$5,COUNTIF(Roster!V$7:V$26,"?*")&gt;Setup!$B$6),"CLASH","OK"))</f>
        <v/>
      </c>
      <c r="W7" s="34" t="str">
        <f aca="false">IF(OR(Roster!$A7="",Roster!W7=""),"",IF(OR(COUNTIFS(Roster!$B$7:$B$26,Roster!$B7,Roster!W$7:W$26,"?*")&gt;Setup!$B$5,COUNTIF(Roster!W$7:W$26,"?*")&gt;Setup!$B$6),"CLASH","OK"))</f>
        <v/>
      </c>
      <c r="X7" s="34" t="str">
        <f aca="false">IF(OR(Roster!$A7="",Roster!X7=""),"",IF(OR(COUNTIFS(Roster!$B$7:$B$26,Roster!$B7,Roster!X$7:X$26,"?*")&gt;Setup!$B$5,COUNTIF(Roster!X$7:X$26,"?*")&gt;Setup!$B$6),"CLASH","OK"))</f>
        <v/>
      </c>
      <c r="Y7" s="34" t="str">
        <f aca="false">IF(OR(Roster!$A7="",Roster!Y7=""),"",IF(OR(COUNTIFS(Roster!$B$7:$B$26,Roster!$B7,Roster!Y$7:Y$26,"?*")&gt;Setup!$B$5,COUNTIF(Roster!Y$7:Y$26,"?*")&gt;Setup!$B$6),"CLASH","OK"))</f>
        <v/>
      </c>
      <c r="Z7" s="34" t="str">
        <f aca="false">IF(OR(Roster!$A7="",Roster!Z7=""),"",IF(OR(COUNTIFS(Roster!$B$7:$B$26,Roster!$B7,Roster!Z$7:Z$26,"?*")&gt;Setup!$B$5,COUNTIF(Roster!Z$7:Z$26,"?*")&gt;Setup!$B$6),"CLASH","OK"))</f>
        <v/>
      </c>
      <c r="AA7" s="34" t="str">
        <f aca="false">IF(OR(Roster!$A7="",Roster!AA7=""),"",IF(OR(COUNTIFS(Roster!$B$7:$B$26,Roster!$B7,Roster!AA$7:AA$26,"?*")&gt;Setup!$B$5,COUNTIF(Roster!AA$7:AA$26,"?*")&gt;Setup!$B$6),"CLASH","OK"))</f>
        <v/>
      </c>
      <c r="AB7" s="34" t="str">
        <f aca="false">IF(OR(Roster!$A7="",Roster!AB7=""),"",IF(OR(COUNTIFS(Roster!$B$7:$B$26,Roster!$B7,Roster!AB$7:AB$26,"?*")&gt;Setup!$B$5,COUNTIF(Roster!AB$7:AB$26,"?*")&gt;Setup!$B$6),"CLASH","OK"))</f>
        <v/>
      </c>
      <c r="AC7" s="34" t="str">
        <f aca="false">IF(OR(Roster!$A7="",Roster!AC7=""),"",IF(OR(COUNTIFS(Roster!$B$7:$B$26,Roster!$B7,Roster!AC$7:AC$26,"?*")&gt;Setup!$B$5,COUNTIF(Roster!AC$7:AC$26,"?*")&gt;Setup!$B$6),"CLASH","OK"))</f>
        <v/>
      </c>
      <c r="AD7" s="34" t="str">
        <f aca="false">IF(OR(Roster!$A7="",Roster!AD7=""),"",IF(OR(COUNTIFS(Roster!$B$7:$B$26,Roster!$B7,Roster!AD$7:AD$26,"?*")&gt;Setup!$B$5,COUNTIF(Roster!AD$7:AD$26,"?*")&gt;Setup!$B$6),"CLASH","OK"))</f>
        <v/>
      </c>
      <c r="AE7" s="34" t="str">
        <f aca="false">IF(OR(Roster!$A7="",Roster!AE7=""),"",IF(OR(COUNTIFS(Roster!$B$7:$B$26,Roster!$B7,Roster!AE$7:AE$26,"?*")&gt;Setup!$B$5,COUNTIF(Roster!AE$7:AE$26,"?*")&gt;Setup!$B$6),"CLASH","OK"))</f>
        <v/>
      </c>
      <c r="AF7" s="34" t="str">
        <f aca="false">IF(OR(Roster!$A7="",Roster!AF7=""),"",IF(OR(COUNTIFS(Roster!$B$7:$B$26,Roster!$B7,Roster!AF$7:AF$26,"?*")&gt;Setup!$B$5,COUNTIF(Roster!AF$7:AF$26,"?*")&gt;Setup!$B$6),"CLASH","OK"))</f>
        <v/>
      </c>
      <c r="AG7" s="34" t="str">
        <f aca="false">IF(OR(Roster!$A7="",Roster!AG7=""),"",IF(OR(COUNTIFS(Roster!$B$7:$B$26,Roster!$B7,Roster!AG$7:AG$26,"?*")&gt;Setup!$B$5,COUNTIF(Roster!AG$7:AG$26,"?*")&gt;Setup!$B$6),"CLASH","OK"))</f>
        <v>OK</v>
      </c>
      <c r="AH7" s="34" t="str">
        <f aca="false">IF(OR(Roster!$A7="",Roster!AH7=""),"",IF(OR(COUNTIFS(Roster!$B$7:$B$26,Roster!$B7,Roster!AH$7:AH$26,"?*")&gt;Setup!$B$5,COUNTIF(Roster!AH$7:AH$26,"?*")&gt;Setup!$B$6),"CLASH","OK"))</f>
        <v>OK</v>
      </c>
      <c r="AI7" s="34" t="str">
        <f aca="false">IF(OR(Roster!$A7="",Roster!AI7=""),"",IF(OR(COUNTIFS(Roster!$B$7:$B$26,Roster!$B7,Roster!AI$7:AI$26,"?*")&gt;Setup!$B$5,COUNTIF(Roster!AI$7:AI$26,"?*")&gt;Setup!$B$6),"CLASH","OK"))</f>
        <v>OK</v>
      </c>
      <c r="AJ7" s="34" t="str">
        <f aca="false">IF(OR(Roster!$A7="",Roster!AJ7=""),"",IF(OR(COUNTIFS(Roster!$B$7:$B$26,Roster!$B7,Roster!AJ$7:AJ$26,"?*")&gt;Setup!$B$5,COUNTIF(Roster!AJ$7:AJ$26,"?*")&gt;Setup!$B$6),"CLASH","OK"))</f>
        <v>OK</v>
      </c>
      <c r="AK7" s="34" t="str">
        <f aca="false">IF(OR(Roster!$A7="",Roster!AK7=""),"",IF(OR(COUNTIFS(Roster!$B$7:$B$26,Roster!$B7,Roster!AK$7:AK$26,"?*")&gt;Setup!$B$5,COUNTIF(Roster!AK$7:AK$26,"?*")&gt;Setup!$B$6),"CLASH","OK"))</f>
        <v>OK</v>
      </c>
      <c r="AL7" s="34" t="str">
        <f aca="false">IF(OR(Roster!$A7="",Roster!AL7=""),"",IF(OR(COUNTIFS(Roster!$B$7:$B$26,Roster!$B7,Roster!AL$7:AL$26,"?*")&gt;Setup!$B$5,COUNTIF(Roster!AL$7:AL$26,"?*")&gt;Setup!$B$6),"CLASH","OK"))</f>
        <v/>
      </c>
      <c r="AM7" s="34" t="str">
        <f aca="false">IF(OR(Roster!$A7="",Roster!AM7=""),"",IF(OR(COUNTIFS(Roster!$B$7:$B$26,Roster!$B7,Roster!AM$7:AM$26,"?*")&gt;Setup!$B$5,COUNTIF(Roster!AM$7:AM$26,"?*")&gt;Setup!$B$6),"CLASH","OK"))</f>
        <v/>
      </c>
      <c r="AN7" s="34" t="str">
        <f aca="false">IF(OR(Roster!$A7="",Roster!AN7=""),"",IF(OR(COUNTIFS(Roster!$B$7:$B$26,Roster!$B7,Roster!AN$7:AN$26,"?*")&gt;Setup!$B$5,COUNTIF(Roster!AN$7:AN$26,"?*")&gt;Setup!$B$6),"CLASH","OK"))</f>
        <v/>
      </c>
      <c r="AO7" s="34" t="str">
        <f aca="false">IF(OR(Roster!$A7="",Roster!AO7=""),"",IF(OR(COUNTIFS(Roster!$B$7:$B$26,Roster!$B7,Roster!AO$7:AO$26,"?*")&gt;Setup!$B$5,COUNTIF(Roster!AO$7:AO$26,"?*")&gt;Setup!$B$6),"CLASH","OK"))</f>
        <v/>
      </c>
      <c r="AP7" s="34" t="str">
        <f aca="false">IF(OR(Roster!$A7="",Roster!AP7=""),"",IF(OR(COUNTIFS(Roster!$B$7:$B$26,Roster!$B7,Roster!AP$7:AP$26,"?*")&gt;Setup!$B$5,COUNTIF(Roster!AP$7:AP$26,"?*")&gt;Setup!$B$6),"CLASH","OK"))</f>
        <v/>
      </c>
      <c r="AQ7" s="34" t="str">
        <f aca="false">IF(OR(Roster!$A7="",Roster!AQ7=""),"",IF(OR(COUNTIFS(Roster!$B$7:$B$26,Roster!$B7,Roster!AQ$7:AQ$26,"?*")&gt;Setup!$B$5,COUNTIF(Roster!AQ$7:AQ$26,"?*")&gt;Setup!$B$6),"CLASH","OK"))</f>
        <v/>
      </c>
      <c r="AR7" s="34" t="str">
        <f aca="false">IF(OR(Roster!$A7="",Roster!AR7=""),"",IF(OR(COUNTIFS(Roster!$B$7:$B$26,Roster!$B7,Roster!AR$7:AR$26,"?*")&gt;Setup!$B$5,COUNTIF(Roster!AR$7:AR$26,"?*")&gt;Setup!$B$6),"CLASH","OK"))</f>
        <v/>
      </c>
      <c r="AS7" s="34" t="str">
        <f aca="false">IF(OR(Roster!$A7="",Roster!AS7=""),"",IF(OR(COUNTIFS(Roster!$B$7:$B$26,Roster!$B7,Roster!AS$7:AS$26,"?*")&gt;Setup!$B$5,COUNTIF(Roster!AS$7:AS$26,"?*")&gt;Setup!$B$6),"CLASH","OK"))</f>
        <v/>
      </c>
      <c r="AT7" s="34" t="str">
        <f aca="false">IF(OR(Roster!$A7="",Roster!AT7=""),"",IF(OR(COUNTIFS(Roster!$B$7:$B$26,Roster!$B7,Roster!AT$7:AT$26,"?*")&gt;Setup!$B$5,COUNTIF(Roster!AT$7:AT$26,"?*")&gt;Setup!$B$6),"CLASH","OK"))</f>
        <v/>
      </c>
      <c r="AU7" s="34" t="str">
        <f aca="false">IF(OR(Roster!$A7="",Roster!AU7=""),"",IF(OR(COUNTIFS(Roster!$B$7:$B$26,Roster!$B7,Roster!AU$7:AU$26,"?*")&gt;Setup!$B$5,COUNTIF(Roster!AU$7:AU$26,"?*")&gt;Setup!$B$6),"CLASH","OK"))</f>
        <v/>
      </c>
      <c r="AV7" s="34" t="str">
        <f aca="false">IF(OR(Roster!$A7="",Roster!AV7=""),"",IF(OR(COUNTIFS(Roster!$B$7:$B$26,Roster!$B7,Roster!AV$7:AV$26,"?*")&gt;Setup!$B$5,COUNTIF(Roster!AV$7:AV$26,"?*")&gt;Setup!$B$6),"CLASH","OK"))</f>
        <v/>
      </c>
      <c r="AW7" s="34" t="str">
        <f aca="false">IF(OR(Roster!$A7="",Roster!AW7=""),"",IF(OR(COUNTIFS(Roster!$B$7:$B$26,Roster!$B7,Roster!AW$7:AW$26,"?*")&gt;Setup!$B$5,COUNTIF(Roster!AW$7:AW$26,"?*")&gt;Setup!$B$6),"CLASH","OK"))</f>
        <v/>
      </c>
      <c r="AX7" s="34" t="str">
        <f aca="false">IF(OR(Roster!$A7="",Roster!AX7=""),"",IF(OR(COUNTIFS(Roster!$B$7:$B$26,Roster!$B7,Roster!AX$7:AX$26,"?*")&gt;Setup!$B$5,COUNTIF(Roster!AX$7:AX$26,"?*")&gt;Setup!$B$6),"CLASH","OK"))</f>
        <v/>
      </c>
      <c r="AY7" s="34" t="str">
        <f aca="false">IF(OR(Roster!$A7="",Roster!AY7=""),"",IF(OR(COUNTIFS(Roster!$B$7:$B$26,Roster!$B7,Roster!AY$7:AY$26,"?*")&gt;Setup!$B$5,COUNTIF(Roster!AY$7:AY$26,"?*")&gt;Setup!$B$6),"CLASH","OK"))</f>
        <v/>
      </c>
      <c r="AZ7" s="34" t="str">
        <f aca="false">IF(OR(Roster!$A7="",Roster!AZ7=""),"",IF(OR(COUNTIFS(Roster!$B$7:$B$26,Roster!$B7,Roster!AZ$7:AZ$26,"?*")&gt;Setup!$B$5,COUNTIF(Roster!AZ$7:AZ$26,"?*")&gt;Setup!$B$6),"CLASH","OK"))</f>
        <v/>
      </c>
      <c r="BA7" s="34" t="str">
        <f aca="false">IF(OR(Roster!$A7="",Roster!BA7=""),"",IF(OR(COUNTIFS(Roster!$B$7:$B$26,Roster!$B7,Roster!BA$7:BA$26,"?*")&gt;Setup!$B$5,COUNTIF(Roster!BA$7:BA$26,"?*")&gt;Setup!$B$6),"CLASH","OK"))</f>
        <v/>
      </c>
      <c r="BB7" s="34" t="str">
        <f aca="false">IF(OR(Roster!$A7="",Roster!BB7=""),"",IF(OR(COUNTIFS(Roster!$B$7:$B$26,Roster!$B7,Roster!BB$7:BB$26,"?*")&gt;Setup!$B$5,COUNTIF(Roster!BB$7:BB$26,"?*")&gt;Setup!$B$6),"CLASH","OK"))</f>
        <v/>
      </c>
      <c r="BC7" s="34" t="str">
        <f aca="false">IF(OR(Roster!$A7="",Roster!BC7=""),"",IF(OR(COUNTIFS(Roster!$B$7:$B$26,Roster!$B7,Roster!BC$7:BC$26,"?*")&gt;Setup!$B$5,COUNTIF(Roster!BC$7:BC$26,"?*")&gt;Setup!$B$6),"CLASH","OK"))</f>
        <v/>
      </c>
      <c r="BD7" s="34" t="str">
        <f aca="false">IF(OR(Roster!$A7="",Roster!BD7=""),"",IF(OR(COUNTIFS(Roster!$B$7:$B$26,Roster!$B7,Roster!BD$7:BD$26,"?*")&gt;Setup!$B$5,COUNTIF(Roster!BD$7:BD$26,"?*")&gt;Setup!$B$6),"CLASH","OK"))</f>
        <v/>
      </c>
      <c r="BE7" s="34" t="str">
        <f aca="false">IF(OR(Roster!$A7="",Roster!BE7=""),"",IF(OR(COUNTIFS(Roster!$B$7:$B$26,Roster!$B7,Roster!BE$7:BE$26,"?*")&gt;Setup!$B$5,COUNTIF(Roster!BE$7:BE$26,"?*")&gt;Setup!$B$6),"CLASH","OK"))</f>
        <v/>
      </c>
      <c r="BF7" s="34" t="str">
        <f aca="false">IF(OR(Roster!$A7="",Roster!BF7=""),"",IF(OR(COUNTIFS(Roster!$B$7:$B$26,Roster!$B7,Roster!BF$7:BF$26,"?*")&gt;Setup!$B$5,COUNTIF(Roster!BF$7:BF$26,"?*")&gt;Setup!$B$6),"CLASH","OK"))</f>
        <v/>
      </c>
      <c r="BG7" s="34" t="str">
        <f aca="false">IF(OR(Roster!$A7="",Roster!BG7=""),"",IF(OR(COUNTIFS(Roster!$B$7:$B$26,Roster!$B7,Roster!BG$7:BG$26,"?*")&gt;Setup!$B$5,COUNTIF(Roster!BG$7:BG$26,"?*")&gt;Setup!$B$6),"CLASH","OK"))</f>
        <v/>
      </c>
      <c r="BH7" s="34" t="str">
        <f aca="false">IF(OR(Roster!$A7="",Roster!BH7=""),"",IF(OR(COUNTIFS(Roster!$B$7:$B$26,Roster!$B7,Roster!BH$7:BH$26,"?*")&gt;Setup!$B$5,COUNTIF(Roster!BH$7:BH$26,"?*")&gt;Setup!$B$6),"CLASH","OK"))</f>
        <v/>
      </c>
      <c r="BI7" s="34" t="str">
        <f aca="false">IF(OR(Roster!$A7="",Roster!BI7=""),"",IF(OR(COUNTIFS(Roster!$B$7:$B$26,Roster!$B7,Roster!BI$7:BI$26,"?*")&gt;Setup!$B$5,COUNTIF(Roster!BI$7:BI$26,"?*")&gt;Setup!$B$6),"CLASH","OK"))</f>
        <v/>
      </c>
      <c r="BJ7" s="34" t="str">
        <f aca="false">IF(OR(Roster!$A7="",Roster!BJ7=""),"",IF(OR(COUNTIFS(Roster!$B$7:$B$26,Roster!$B7,Roster!BJ$7:BJ$26,"?*")&gt;Setup!$B$5,COUNTIF(Roster!BJ$7:BJ$26,"?*")&gt;Setup!$B$6),"CLASH","OK"))</f>
        <v/>
      </c>
      <c r="BK7" s="34" t="str">
        <f aca="false">IF(OR(Roster!$A7="",Roster!BK7=""),"",IF(OR(COUNTIFS(Roster!$B$7:$B$26,Roster!$B7,Roster!BK$7:BK$26,"?*")&gt;Setup!$B$5,COUNTIF(Roster!BK$7:BK$26,"?*")&gt;Setup!$B$6),"CLASH","OK"))</f>
        <v/>
      </c>
      <c r="BL7" s="34" t="str">
        <f aca="false">IF(OR(Roster!$A7="",Roster!BL7=""),"",IF(OR(COUNTIFS(Roster!$B$7:$B$26,Roster!$B7,Roster!BL$7:BL$26,"?*")&gt;Setup!$B$5,COUNTIF(Roster!BL$7:BL$26,"?*")&gt;Setup!$B$6),"CLASH","OK"))</f>
        <v/>
      </c>
      <c r="BM7" s="34" t="str">
        <f aca="false">IF(OR(Roster!$A7="",Roster!BM7=""),"",IF(OR(COUNTIFS(Roster!$B$7:$B$26,Roster!$B7,Roster!BM$7:BM$26,"?*")&gt;Setup!$B$5,COUNTIF(Roster!BM$7:BM$26,"?*")&gt;Setup!$B$6),"CLASH","OK"))</f>
        <v/>
      </c>
      <c r="BN7" s="34" t="str">
        <f aca="false">IF(OR(Roster!$A7="",Roster!BN7=""),"",IF(OR(COUNTIFS(Roster!$B$7:$B$26,Roster!$B7,Roster!BN$7:BN$26,"?*")&gt;Setup!$B$5,COUNTIF(Roster!BN$7:BN$26,"?*")&gt;Setup!$B$6),"CLASH","OK"))</f>
        <v/>
      </c>
      <c r="BO7" s="34" t="str">
        <f aca="false">IF(OR(Roster!$A7="",Roster!BO7=""),"",IF(OR(COUNTIFS(Roster!$B$7:$B$26,Roster!$B7,Roster!BO$7:BO$26,"?*")&gt;Setup!$B$5,COUNTIF(Roster!BO$7:BO$26,"?*")&gt;Setup!$B$6),"CLASH","OK"))</f>
        <v/>
      </c>
      <c r="BP7" s="34" t="str">
        <f aca="false">IF(OR(Roster!$A7="",Roster!BP7=""),"",IF(OR(COUNTIFS(Roster!$B$7:$B$26,Roster!$B7,Roster!BP$7:BP$26,"?*")&gt;Setup!$B$5,COUNTIF(Roster!BP$7:BP$26,"?*")&gt;Setup!$B$6),"CLASH","OK"))</f>
        <v/>
      </c>
      <c r="BQ7" s="34" t="str">
        <f aca="false">IF(OR(Roster!$A7="",Roster!BQ7=""),"",IF(OR(COUNTIFS(Roster!$B$7:$B$26,Roster!$B7,Roster!BQ$7:BQ$26,"?*")&gt;Setup!$B$5,COUNTIF(Roster!BQ$7:BQ$26,"?*")&gt;Setup!$B$6),"CLASH","OK"))</f>
        <v/>
      </c>
      <c r="BR7" s="34" t="str">
        <f aca="false">IF(OR(Roster!$A7="",Roster!BR7=""),"",IF(OR(COUNTIFS(Roster!$B$7:$B$26,Roster!$B7,Roster!BR$7:BR$26,"?*")&gt;Setup!$B$5,COUNTIF(Roster!BR$7:BR$26,"?*")&gt;Setup!$B$6),"CLASH","OK"))</f>
        <v/>
      </c>
      <c r="BS7" s="34" t="str">
        <f aca="false">IF(OR(Roster!$A7="",Roster!BS7=""),"",IF(OR(COUNTIFS(Roster!$B$7:$B$26,Roster!$B7,Roster!BS$7:BS$26,"?*")&gt;Setup!$B$5,COUNTIF(Roster!BS$7:BS$26,"?*")&gt;Setup!$B$6),"CLASH","OK"))</f>
        <v/>
      </c>
      <c r="BT7" s="34" t="str">
        <f aca="false">IF(OR(Roster!$A7="",Roster!BT7=""),"",IF(OR(COUNTIFS(Roster!$B$7:$B$26,Roster!$B7,Roster!BT$7:BT$26,"?*")&gt;Setup!$B$5,COUNTIF(Roster!BT$7:BT$26,"?*")&gt;Setup!$B$6),"CLASH","OK"))</f>
        <v/>
      </c>
      <c r="BU7" s="34" t="str">
        <f aca="false">IF(OR(Roster!$A7="",Roster!BU7=""),"",IF(OR(COUNTIFS(Roster!$B$7:$B$26,Roster!$B7,Roster!BU$7:BU$26,"?*")&gt;Setup!$B$5,COUNTIF(Roster!BU$7:BU$26,"?*")&gt;Setup!$B$6),"CLASH","OK"))</f>
        <v/>
      </c>
      <c r="BV7" s="34" t="str">
        <f aca="false">IF(OR(Roster!$A7="",Roster!BV7=""),"",IF(OR(COUNTIFS(Roster!$B$7:$B$26,Roster!$B7,Roster!BV$7:BV$26,"?*")&gt;Setup!$B$5,COUNTIF(Roster!BV$7:BV$26,"?*")&gt;Setup!$B$6),"CLASH","OK"))</f>
        <v/>
      </c>
      <c r="BW7" s="34" t="str">
        <f aca="false">IF(OR(Roster!$A7="",Roster!BW7=""),"",IF(OR(COUNTIFS(Roster!$B$7:$B$26,Roster!$B7,Roster!BW$7:BW$26,"?*")&gt;Setup!$B$5,COUNTIF(Roster!BW$7:BW$26,"?*")&gt;Setup!$B$6),"CLASH","OK"))</f>
        <v/>
      </c>
      <c r="BX7" s="34" t="str">
        <f aca="false">IF(OR(Roster!$A7="",Roster!BX7=""),"",IF(OR(COUNTIFS(Roster!$B$7:$B$26,Roster!$B7,Roster!BX$7:BX$26,"?*")&gt;Setup!$B$5,COUNTIF(Roster!BX$7:BX$26,"?*")&gt;Setup!$B$6),"CLASH","OK"))</f>
        <v/>
      </c>
      <c r="BY7" s="34" t="str">
        <f aca="false">IF(OR(Roster!$A7="",Roster!BY7=""),"",IF(OR(COUNTIFS(Roster!$B$7:$B$26,Roster!$B7,Roster!BY$7:BY$26,"?*")&gt;Setup!$B$5,COUNTIF(Roster!BY$7:BY$26,"?*")&gt;Setup!$B$6),"CLASH","OK"))</f>
        <v/>
      </c>
      <c r="BZ7" s="34" t="str">
        <f aca="false">IF(OR(Roster!$A7="",Roster!BZ7=""),"",IF(OR(COUNTIFS(Roster!$B$7:$B$26,Roster!$B7,Roster!BZ$7:BZ$26,"?*")&gt;Setup!$B$5,COUNTIF(Roster!BZ$7:BZ$26,"?*")&gt;Setup!$B$6),"CLASH","OK"))</f>
        <v/>
      </c>
      <c r="CA7" s="34" t="str">
        <f aca="false">IF(OR(Roster!$A7="",Roster!CA7=""),"",IF(OR(COUNTIFS(Roster!$B$7:$B$26,Roster!$B7,Roster!CA$7:CA$26,"?*")&gt;Setup!$B$5,COUNTIF(Roster!CA$7:CA$26,"?*")&gt;Setup!$B$6),"CLASH","OK"))</f>
        <v/>
      </c>
      <c r="CB7" s="34" t="str">
        <f aca="false">IF(OR(Roster!$A7="",Roster!CB7=""),"",IF(OR(COUNTIFS(Roster!$B$7:$B$26,Roster!$B7,Roster!CB$7:CB$26,"?*")&gt;Setup!$B$5,COUNTIF(Roster!CB$7:CB$26,"?*")&gt;Setup!$B$6),"CLASH","OK"))</f>
        <v/>
      </c>
      <c r="CC7" s="34" t="str">
        <f aca="false">IF(OR(Roster!$A7="",Roster!CC7=""),"",IF(OR(COUNTIFS(Roster!$B$7:$B$26,Roster!$B7,Roster!CC$7:CC$26,"?*")&gt;Setup!$B$5,COUNTIF(Roster!CC$7:CC$26,"?*")&gt;Setup!$B$6),"CLASH","OK"))</f>
        <v/>
      </c>
      <c r="CD7" s="34" t="str">
        <f aca="false">IF(OR(Roster!$A7="",Roster!CD7=""),"",IF(OR(COUNTIFS(Roster!$B$7:$B$26,Roster!$B7,Roster!CD$7:CD$26,"?*")&gt;Setup!$B$5,COUNTIF(Roster!CD$7:CD$26,"?*")&gt;Setup!$B$6),"CLASH","OK"))</f>
        <v/>
      </c>
      <c r="CE7" s="34" t="str">
        <f aca="false">IF(OR(Roster!$A7="",Roster!CE7=""),"",IF(OR(COUNTIFS(Roster!$B$7:$B$26,Roster!$B7,Roster!CE$7:CE$26,"?*")&gt;Setup!$B$5,COUNTIF(Roster!CE$7:CE$26,"?*")&gt;Setup!$B$6),"CLASH","OK"))</f>
        <v/>
      </c>
      <c r="CF7" s="34" t="str">
        <f aca="false">IF(OR(Roster!$A7="",Roster!CF7=""),"",IF(OR(COUNTIFS(Roster!$B$7:$B$26,Roster!$B7,Roster!CF$7:CF$26,"?*")&gt;Setup!$B$5,COUNTIF(Roster!CF$7:CF$26,"?*")&gt;Setup!$B$6),"CLASH","OK"))</f>
        <v/>
      </c>
      <c r="CG7" s="34" t="str">
        <f aca="false">IF(OR(Roster!$A7="",Roster!CG7=""),"",IF(OR(COUNTIFS(Roster!$B$7:$B$26,Roster!$B7,Roster!CG$7:CG$26,"?*")&gt;Setup!$B$5,COUNTIF(Roster!CG$7:CG$26,"?*")&gt;Setup!$B$6),"CLASH","OK"))</f>
        <v/>
      </c>
      <c r="CH7" s="34" t="str">
        <f aca="false">IF(OR(Roster!$A7="",Roster!CH7=""),"",IF(OR(COUNTIFS(Roster!$B$7:$B$26,Roster!$B7,Roster!CH$7:CH$26,"?*")&gt;Setup!$B$5,COUNTIF(Roster!CH$7:CH$26,"?*")&gt;Setup!$B$6),"CLASH","OK"))</f>
        <v/>
      </c>
      <c r="CI7" s="34" t="str">
        <f aca="false">IF(OR(Roster!$A7="",Roster!CI7=""),"",IF(OR(COUNTIFS(Roster!$B$7:$B$26,Roster!$B7,Roster!CI$7:CI$26,"?*")&gt;Setup!$B$5,COUNTIF(Roster!CI$7:CI$26,"?*")&gt;Setup!$B$6),"CLASH","OK"))</f>
        <v/>
      </c>
      <c r="CJ7" s="34" t="str">
        <f aca="false">IF(OR(Roster!$A7="",Roster!CJ7=""),"",IF(OR(COUNTIFS(Roster!$B$7:$B$26,Roster!$B7,Roster!CJ$7:CJ$26,"?*")&gt;Setup!$B$5,COUNTIF(Roster!CJ$7:CJ$26,"?*")&gt;Setup!$B$6),"CLASH","OK"))</f>
        <v/>
      </c>
      <c r="CK7" s="34" t="str">
        <f aca="false">IF(OR(Roster!$A7="",Roster!CK7=""),"",IF(OR(COUNTIFS(Roster!$B$7:$B$26,Roster!$B7,Roster!CK$7:CK$26,"?*")&gt;Setup!$B$5,COUNTIF(Roster!CK$7:CK$26,"?*")&gt;Setup!$B$6),"CLASH","OK"))</f>
        <v/>
      </c>
      <c r="CL7" s="34" t="str">
        <f aca="false">IF(OR(Roster!$A7="",Roster!CL7=""),"",IF(OR(COUNTIFS(Roster!$B$7:$B$26,Roster!$B7,Roster!CL$7:CL$26,"?*")&gt;Setup!$B$5,COUNTIF(Roster!CL$7:CL$26,"?*")&gt;Setup!$B$6),"CLASH","OK"))</f>
        <v/>
      </c>
      <c r="CM7" s="34" t="str">
        <f aca="false">IF(OR(Roster!$A7="",Roster!CM7=""),"",IF(OR(COUNTIFS(Roster!$B$7:$B$26,Roster!$B7,Roster!CM$7:CM$26,"?*")&gt;Setup!$B$5,COUNTIF(Roster!CM$7:CM$26,"?*")&gt;Setup!$B$6),"CLASH","OK"))</f>
        <v/>
      </c>
      <c r="CN7" s="34" t="str">
        <f aca="false">IF(OR(Roster!$A7="",Roster!CN7=""),"",IF(OR(COUNTIFS(Roster!$B$7:$B$26,Roster!$B7,Roster!CN$7:CN$26,"?*")&gt;Setup!$B$5,COUNTIF(Roster!CN$7:CN$26,"?*")&gt;Setup!$B$6),"CLASH","OK"))</f>
        <v/>
      </c>
      <c r="CO7" s="34" t="str">
        <f aca="false">IF(OR(Roster!$A7="",Roster!CO7=""),"",IF(OR(COUNTIFS(Roster!$B$7:$B$26,Roster!$B7,Roster!CO$7:CO$26,"?*")&gt;Setup!$B$5,COUNTIF(Roster!CO$7:CO$26,"?*")&gt;Setup!$B$6),"CLASH","OK"))</f>
        <v/>
      </c>
      <c r="CP7" s="34" t="str">
        <f aca="false">IF(OR(Roster!$A7="",Roster!CP7=""),"",IF(OR(COUNTIFS(Roster!$B$7:$B$26,Roster!$B7,Roster!CP$7:CP$26,"?*")&gt;Setup!$B$5,COUNTIF(Roster!CP$7:CP$26,"?*")&gt;Setup!$B$6),"CLASH","OK"))</f>
        <v/>
      </c>
      <c r="CQ7" s="34" t="str">
        <f aca="false">IF(OR(Roster!$A7="",Roster!CQ7=""),"",IF(OR(COUNTIFS(Roster!$B$7:$B$26,Roster!$B7,Roster!CQ$7:CQ$26,"?*")&gt;Setup!$B$5,COUNTIF(Roster!CQ$7:CQ$26,"?*")&gt;Setup!$B$6),"CLASH","OK"))</f>
        <v/>
      </c>
      <c r="CR7" s="34" t="str">
        <f aca="false">IF(OR(Roster!$A7="",Roster!CR7=""),"",IF(OR(COUNTIFS(Roster!$B$7:$B$26,Roster!$B7,Roster!CR$7:CR$26,"?*")&gt;Setup!$B$5,COUNTIF(Roster!CR$7:CR$26,"?*")&gt;Setup!$B$6),"CLASH","OK"))</f>
        <v/>
      </c>
      <c r="CS7" s="34" t="str">
        <f aca="false">IF(OR(Roster!$A7="",Roster!CS7=""),"",IF(OR(COUNTIFS(Roster!$B$7:$B$26,Roster!$B7,Roster!CS$7:CS$26,"?*")&gt;Setup!$B$5,COUNTIF(Roster!CS$7:CS$26,"?*")&gt;Setup!$B$6),"CLASH","OK"))</f>
        <v/>
      </c>
      <c r="CT7" s="34" t="str">
        <f aca="false">IF(OR(Roster!$A7="",Roster!CT7=""),"",IF(OR(COUNTIFS(Roster!$B$7:$B$26,Roster!$B7,Roster!CT$7:CT$26,"?*")&gt;Setup!$B$5,COUNTIF(Roster!CT$7:CT$26,"?*")&gt;Setup!$B$6),"CLASH","OK"))</f>
        <v/>
      </c>
      <c r="CU7" s="34" t="str">
        <f aca="false">IF(OR(Roster!$A7="",Roster!CU7=""),"",IF(OR(COUNTIFS(Roster!$B$7:$B$26,Roster!$B7,Roster!CU$7:CU$26,"?*")&gt;Setup!$B$5,COUNTIF(Roster!CU$7:CU$26,"?*")&gt;Setup!$B$6),"CLASH","OK"))</f>
        <v/>
      </c>
    </row>
    <row r="8" customFormat="false" ht="15" hidden="false" customHeight="false" outlineLevel="0" collapsed="false">
      <c r="A8" s="33" t="str">
        <f aca="false">IF(Roster!A8="","",Roster!A8)</f>
        <v>Brian Okafor</v>
      </c>
      <c r="B8" s="33" t="str">
        <f aca="false">IF(Roster!A8="","",Roster!B8)</f>
        <v>Operations</v>
      </c>
      <c r="H8" s="34" t="str">
        <f aca="false">IF(OR(Roster!$A8="",Roster!H8=""),"",IF(OR(COUNTIFS(Roster!$B$7:$B$26,Roster!$B8,Roster!H$7:H$26,"?*")&gt;Setup!$B$5,COUNTIF(Roster!H$7:H$26,"?*")&gt;Setup!$B$6),"CLASH","OK"))</f>
        <v/>
      </c>
      <c r="I8" s="34" t="str">
        <f aca="false">IF(OR(Roster!$A8="",Roster!I8=""),"",IF(OR(COUNTIFS(Roster!$B$7:$B$26,Roster!$B8,Roster!I$7:I$26,"?*")&gt;Setup!$B$5,COUNTIF(Roster!I$7:I$26,"?*")&gt;Setup!$B$6),"CLASH","OK"))</f>
        <v/>
      </c>
      <c r="J8" s="34" t="str">
        <f aca="false">IF(OR(Roster!$A8="",Roster!J8=""),"",IF(OR(COUNTIFS(Roster!$B$7:$B$26,Roster!$B8,Roster!J$7:J$26,"?*")&gt;Setup!$B$5,COUNTIF(Roster!J$7:J$26,"?*")&gt;Setup!$B$6),"CLASH","OK"))</f>
        <v/>
      </c>
      <c r="K8" s="34" t="str">
        <f aca="false">IF(OR(Roster!$A8="",Roster!K8=""),"",IF(OR(COUNTIFS(Roster!$B$7:$B$26,Roster!$B8,Roster!K$7:K$26,"?*")&gt;Setup!$B$5,COUNTIF(Roster!K$7:K$26,"?*")&gt;Setup!$B$6),"CLASH","OK"))</f>
        <v/>
      </c>
      <c r="L8" s="34" t="str">
        <f aca="false">IF(OR(Roster!$A8="",Roster!L8=""),"",IF(OR(COUNTIFS(Roster!$B$7:$B$26,Roster!$B8,Roster!L$7:L$26,"?*")&gt;Setup!$B$5,COUNTIF(Roster!L$7:L$26,"?*")&gt;Setup!$B$6),"CLASH","OK"))</f>
        <v/>
      </c>
      <c r="M8" s="34" t="str">
        <f aca="false">IF(OR(Roster!$A8="",Roster!M8=""),"",IF(OR(COUNTIFS(Roster!$B$7:$B$26,Roster!$B8,Roster!M$7:M$26,"?*")&gt;Setup!$B$5,COUNTIF(Roster!M$7:M$26,"?*")&gt;Setup!$B$6),"CLASH","OK"))</f>
        <v/>
      </c>
      <c r="N8" s="34" t="str">
        <f aca="false">IF(OR(Roster!$A8="",Roster!N8=""),"",IF(OR(COUNTIFS(Roster!$B$7:$B$26,Roster!$B8,Roster!N$7:N$26,"?*")&gt;Setup!$B$5,COUNTIF(Roster!N$7:N$26,"?*")&gt;Setup!$B$6),"CLASH","OK"))</f>
        <v/>
      </c>
      <c r="O8" s="34" t="str">
        <f aca="false">IF(OR(Roster!$A8="",Roster!O8=""),"",IF(OR(COUNTIFS(Roster!$B$7:$B$26,Roster!$B8,Roster!O$7:O$26,"?*")&gt;Setup!$B$5,COUNTIF(Roster!O$7:O$26,"?*")&gt;Setup!$B$6),"CLASH","OK"))</f>
        <v/>
      </c>
      <c r="P8" s="34" t="str">
        <f aca="false">IF(OR(Roster!$A8="",Roster!P8=""),"",IF(OR(COUNTIFS(Roster!$B$7:$B$26,Roster!$B8,Roster!P$7:P$26,"?*")&gt;Setup!$B$5,COUNTIF(Roster!P$7:P$26,"?*")&gt;Setup!$B$6),"CLASH","OK"))</f>
        <v/>
      </c>
      <c r="Q8" s="34" t="str">
        <f aca="false">IF(OR(Roster!$A8="",Roster!Q8=""),"",IF(OR(COUNTIFS(Roster!$B$7:$B$26,Roster!$B8,Roster!Q$7:Q$26,"?*")&gt;Setup!$B$5,COUNTIF(Roster!Q$7:Q$26,"?*")&gt;Setup!$B$6),"CLASH","OK"))</f>
        <v/>
      </c>
      <c r="R8" s="34" t="str">
        <f aca="false">IF(OR(Roster!$A8="",Roster!R8=""),"",IF(OR(COUNTIFS(Roster!$B$7:$B$26,Roster!$B8,Roster!R$7:R$26,"?*")&gt;Setup!$B$5,COUNTIF(Roster!R$7:R$26,"?*")&gt;Setup!$B$6),"CLASH","OK"))</f>
        <v/>
      </c>
      <c r="S8" s="34" t="str">
        <f aca="false">IF(OR(Roster!$A8="",Roster!S8=""),"",IF(OR(COUNTIFS(Roster!$B$7:$B$26,Roster!$B8,Roster!S$7:S$26,"?*")&gt;Setup!$B$5,COUNTIF(Roster!S$7:S$26,"?*")&gt;Setup!$B$6),"CLASH","OK"))</f>
        <v/>
      </c>
      <c r="T8" s="34" t="str">
        <f aca="false">IF(OR(Roster!$A8="",Roster!T8=""),"",IF(OR(COUNTIFS(Roster!$B$7:$B$26,Roster!$B8,Roster!T$7:T$26,"?*")&gt;Setup!$B$5,COUNTIF(Roster!T$7:T$26,"?*")&gt;Setup!$B$6),"CLASH","OK"))</f>
        <v/>
      </c>
      <c r="U8" s="34" t="str">
        <f aca="false">IF(OR(Roster!$A8="",Roster!U8=""),"",IF(OR(COUNTIFS(Roster!$B$7:$B$26,Roster!$B8,Roster!U$7:U$26,"?*")&gt;Setup!$B$5,COUNTIF(Roster!U$7:U$26,"?*")&gt;Setup!$B$6),"CLASH","OK"))</f>
        <v/>
      </c>
      <c r="V8" s="34" t="str">
        <f aca="false">IF(OR(Roster!$A8="",Roster!V8=""),"",IF(OR(COUNTIFS(Roster!$B$7:$B$26,Roster!$B8,Roster!V$7:V$26,"?*")&gt;Setup!$B$5,COUNTIF(Roster!V$7:V$26,"?*")&gt;Setup!$B$6),"CLASH","OK"))</f>
        <v/>
      </c>
      <c r="W8" s="34" t="str">
        <f aca="false">IF(OR(Roster!$A8="",Roster!W8=""),"",IF(OR(COUNTIFS(Roster!$B$7:$B$26,Roster!$B8,Roster!W$7:W$26,"?*")&gt;Setup!$B$5,COUNTIF(Roster!W$7:W$26,"?*")&gt;Setup!$B$6),"CLASH","OK"))</f>
        <v/>
      </c>
      <c r="X8" s="34" t="str">
        <f aca="false">IF(OR(Roster!$A8="",Roster!X8=""),"",IF(OR(COUNTIFS(Roster!$B$7:$B$26,Roster!$B8,Roster!X$7:X$26,"?*")&gt;Setup!$B$5,COUNTIF(Roster!X$7:X$26,"?*")&gt;Setup!$B$6),"CLASH","OK"))</f>
        <v/>
      </c>
      <c r="Y8" s="34" t="str">
        <f aca="false">IF(OR(Roster!$A8="",Roster!Y8=""),"",IF(OR(COUNTIFS(Roster!$B$7:$B$26,Roster!$B8,Roster!Y$7:Y$26,"?*")&gt;Setup!$B$5,COUNTIF(Roster!Y$7:Y$26,"?*")&gt;Setup!$B$6),"CLASH","OK"))</f>
        <v/>
      </c>
      <c r="Z8" s="34" t="str">
        <f aca="false">IF(OR(Roster!$A8="",Roster!Z8=""),"",IF(OR(COUNTIFS(Roster!$B$7:$B$26,Roster!$B8,Roster!Z$7:Z$26,"?*")&gt;Setup!$B$5,COUNTIF(Roster!Z$7:Z$26,"?*")&gt;Setup!$B$6),"CLASH","OK"))</f>
        <v/>
      </c>
      <c r="AA8" s="34" t="str">
        <f aca="false">IF(OR(Roster!$A8="",Roster!AA8=""),"",IF(OR(COUNTIFS(Roster!$B$7:$B$26,Roster!$B8,Roster!AA$7:AA$26,"?*")&gt;Setup!$B$5,COUNTIF(Roster!AA$7:AA$26,"?*")&gt;Setup!$B$6),"CLASH","OK"))</f>
        <v/>
      </c>
      <c r="AB8" s="34" t="str">
        <f aca="false">IF(OR(Roster!$A8="",Roster!AB8=""),"",IF(OR(COUNTIFS(Roster!$B$7:$B$26,Roster!$B8,Roster!AB$7:AB$26,"?*")&gt;Setup!$B$5,COUNTIF(Roster!AB$7:AB$26,"?*")&gt;Setup!$B$6),"CLASH","OK"))</f>
        <v/>
      </c>
      <c r="AC8" s="34" t="str">
        <f aca="false">IF(OR(Roster!$A8="",Roster!AC8=""),"",IF(OR(COUNTIFS(Roster!$B$7:$B$26,Roster!$B8,Roster!AC$7:AC$26,"?*")&gt;Setup!$B$5,COUNTIF(Roster!AC$7:AC$26,"?*")&gt;Setup!$B$6),"CLASH","OK"))</f>
        <v/>
      </c>
      <c r="AD8" s="34" t="str">
        <f aca="false">IF(OR(Roster!$A8="",Roster!AD8=""),"",IF(OR(COUNTIFS(Roster!$B$7:$B$26,Roster!$B8,Roster!AD$7:AD$26,"?*")&gt;Setup!$B$5,COUNTIF(Roster!AD$7:AD$26,"?*")&gt;Setup!$B$6),"CLASH","OK"))</f>
        <v/>
      </c>
      <c r="AE8" s="34" t="str">
        <f aca="false">IF(OR(Roster!$A8="",Roster!AE8=""),"",IF(OR(COUNTIFS(Roster!$B$7:$B$26,Roster!$B8,Roster!AE$7:AE$26,"?*")&gt;Setup!$B$5,COUNTIF(Roster!AE$7:AE$26,"?*")&gt;Setup!$B$6),"CLASH","OK"))</f>
        <v/>
      </c>
      <c r="AF8" s="34" t="str">
        <f aca="false">IF(OR(Roster!$A8="",Roster!AF8=""),"",IF(OR(COUNTIFS(Roster!$B$7:$B$26,Roster!$B8,Roster!AF$7:AF$26,"?*")&gt;Setup!$B$5,COUNTIF(Roster!AF$7:AF$26,"?*")&gt;Setup!$B$6),"CLASH","OK"))</f>
        <v/>
      </c>
      <c r="AG8" s="34" t="str">
        <f aca="false">IF(OR(Roster!$A8="",Roster!AG8=""),"",IF(OR(COUNTIFS(Roster!$B$7:$B$26,Roster!$B8,Roster!AG$7:AG$26,"?*")&gt;Setup!$B$5,COUNTIF(Roster!AG$7:AG$26,"?*")&gt;Setup!$B$6),"CLASH","OK"))</f>
        <v/>
      </c>
      <c r="AH8" s="34" t="str">
        <f aca="false">IF(OR(Roster!$A8="",Roster!AH8=""),"",IF(OR(COUNTIFS(Roster!$B$7:$B$26,Roster!$B8,Roster!AH$7:AH$26,"?*")&gt;Setup!$B$5,COUNTIF(Roster!AH$7:AH$26,"?*")&gt;Setup!$B$6),"CLASH","OK"))</f>
        <v/>
      </c>
      <c r="AI8" s="34" t="str">
        <f aca="false">IF(OR(Roster!$A8="",Roster!AI8=""),"",IF(OR(COUNTIFS(Roster!$B$7:$B$26,Roster!$B8,Roster!AI$7:AI$26,"?*")&gt;Setup!$B$5,COUNTIF(Roster!AI$7:AI$26,"?*")&gt;Setup!$B$6),"CLASH","OK"))</f>
        <v/>
      </c>
      <c r="AJ8" s="34" t="str">
        <f aca="false">IF(OR(Roster!$A8="",Roster!AJ8=""),"",IF(OR(COUNTIFS(Roster!$B$7:$B$26,Roster!$B8,Roster!AJ$7:AJ$26,"?*")&gt;Setup!$B$5,COUNTIF(Roster!AJ$7:AJ$26,"?*")&gt;Setup!$B$6),"CLASH","OK"))</f>
        <v/>
      </c>
      <c r="AK8" s="34" t="str">
        <f aca="false">IF(OR(Roster!$A8="",Roster!AK8=""),"",IF(OR(COUNTIFS(Roster!$B$7:$B$26,Roster!$B8,Roster!AK$7:AK$26,"?*")&gt;Setup!$B$5,COUNTIF(Roster!AK$7:AK$26,"?*")&gt;Setup!$B$6),"CLASH","OK"))</f>
        <v/>
      </c>
      <c r="AL8" s="34" t="str">
        <f aca="false">IF(OR(Roster!$A8="",Roster!AL8=""),"",IF(OR(COUNTIFS(Roster!$B$7:$B$26,Roster!$B8,Roster!AL$7:AL$26,"?*")&gt;Setup!$B$5,COUNTIF(Roster!AL$7:AL$26,"?*")&gt;Setup!$B$6),"CLASH","OK"))</f>
        <v/>
      </c>
      <c r="AM8" s="34" t="str">
        <f aca="false">IF(OR(Roster!$A8="",Roster!AM8=""),"",IF(OR(COUNTIFS(Roster!$B$7:$B$26,Roster!$B8,Roster!AM$7:AM$26,"?*")&gt;Setup!$B$5,COUNTIF(Roster!AM$7:AM$26,"?*")&gt;Setup!$B$6),"CLASH","OK"))</f>
        <v/>
      </c>
      <c r="AN8" s="34" t="str">
        <f aca="false">IF(OR(Roster!$A8="",Roster!AN8=""),"",IF(OR(COUNTIFS(Roster!$B$7:$B$26,Roster!$B8,Roster!AN$7:AN$26,"?*")&gt;Setup!$B$5,COUNTIF(Roster!AN$7:AN$26,"?*")&gt;Setup!$B$6),"CLASH","OK"))</f>
        <v/>
      </c>
      <c r="AO8" s="34" t="str">
        <f aca="false">IF(OR(Roster!$A8="",Roster!AO8=""),"",IF(OR(COUNTIFS(Roster!$B$7:$B$26,Roster!$B8,Roster!AO$7:AO$26,"?*")&gt;Setup!$B$5,COUNTIF(Roster!AO$7:AO$26,"?*")&gt;Setup!$B$6),"CLASH","OK"))</f>
        <v/>
      </c>
      <c r="AP8" s="34" t="str">
        <f aca="false">IF(OR(Roster!$A8="",Roster!AP8=""),"",IF(OR(COUNTIFS(Roster!$B$7:$B$26,Roster!$B8,Roster!AP$7:AP$26,"?*")&gt;Setup!$B$5,COUNTIF(Roster!AP$7:AP$26,"?*")&gt;Setup!$B$6),"CLASH","OK"))</f>
        <v/>
      </c>
      <c r="AQ8" s="34" t="str">
        <f aca="false">IF(OR(Roster!$A8="",Roster!AQ8=""),"",IF(OR(COUNTIFS(Roster!$B$7:$B$26,Roster!$B8,Roster!AQ$7:AQ$26,"?*")&gt;Setup!$B$5,COUNTIF(Roster!AQ$7:AQ$26,"?*")&gt;Setup!$B$6),"CLASH","OK"))</f>
        <v/>
      </c>
      <c r="AR8" s="34" t="str">
        <f aca="false">IF(OR(Roster!$A8="",Roster!AR8=""),"",IF(OR(COUNTIFS(Roster!$B$7:$B$26,Roster!$B8,Roster!AR$7:AR$26,"?*")&gt;Setup!$B$5,COUNTIF(Roster!AR$7:AR$26,"?*")&gt;Setup!$B$6),"CLASH","OK"))</f>
        <v/>
      </c>
      <c r="AS8" s="34" t="str">
        <f aca="false">IF(OR(Roster!$A8="",Roster!AS8=""),"",IF(OR(COUNTIFS(Roster!$B$7:$B$26,Roster!$B8,Roster!AS$7:AS$26,"?*")&gt;Setup!$B$5,COUNTIF(Roster!AS$7:AS$26,"?*")&gt;Setup!$B$6),"CLASH","OK"))</f>
        <v/>
      </c>
      <c r="AT8" s="34" t="str">
        <f aca="false">IF(OR(Roster!$A8="",Roster!AT8=""),"",IF(OR(COUNTIFS(Roster!$B$7:$B$26,Roster!$B8,Roster!AT$7:AT$26,"?*")&gt;Setup!$B$5,COUNTIF(Roster!AT$7:AT$26,"?*")&gt;Setup!$B$6),"CLASH","OK"))</f>
        <v/>
      </c>
      <c r="AU8" s="34" t="str">
        <f aca="false">IF(OR(Roster!$A8="",Roster!AU8=""),"",IF(OR(COUNTIFS(Roster!$B$7:$B$26,Roster!$B8,Roster!AU$7:AU$26,"?*")&gt;Setup!$B$5,COUNTIF(Roster!AU$7:AU$26,"?*")&gt;Setup!$B$6),"CLASH","OK"))</f>
        <v>OK</v>
      </c>
      <c r="AV8" s="34" t="str">
        <f aca="false">IF(OR(Roster!$A8="",Roster!AV8=""),"",IF(OR(COUNTIFS(Roster!$B$7:$B$26,Roster!$B8,Roster!AV$7:AV$26,"?*")&gt;Setup!$B$5,COUNTIF(Roster!AV$7:AV$26,"?*")&gt;Setup!$B$6),"CLASH","OK"))</f>
        <v>OK</v>
      </c>
      <c r="AW8" s="34" t="str">
        <f aca="false">IF(OR(Roster!$A8="",Roster!AW8=""),"",IF(OR(COUNTIFS(Roster!$B$7:$B$26,Roster!$B8,Roster!AW$7:AW$26,"?*")&gt;Setup!$B$5,COUNTIF(Roster!AW$7:AW$26,"?*")&gt;Setup!$B$6),"CLASH","OK"))</f>
        <v/>
      </c>
      <c r="AX8" s="34" t="str">
        <f aca="false">IF(OR(Roster!$A8="",Roster!AX8=""),"",IF(OR(COUNTIFS(Roster!$B$7:$B$26,Roster!$B8,Roster!AX$7:AX$26,"?*")&gt;Setup!$B$5,COUNTIF(Roster!AX$7:AX$26,"?*")&gt;Setup!$B$6),"CLASH","OK"))</f>
        <v/>
      </c>
      <c r="AY8" s="34" t="str">
        <f aca="false">IF(OR(Roster!$A8="",Roster!AY8=""),"",IF(OR(COUNTIFS(Roster!$B$7:$B$26,Roster!$B8,Roster!AY$7:AY$26,"?*")&gt;Setup!$B$5,COUNTIF(Roster!AY$7:AY$26,"?*")&gt;Setup!$B$6),"CLASH","OK"))</f>
        <v/>
      </c>
      <c r="AZ8" s="34" t="str">
        <f aca="false">IF(OR(Roster!$A8="",Roster!AZ8=""),"",IF(OR(COUNTIFS(Roster!$B$7:$B$26,Roster!$B8,Roster!AZ$7:AZ$26,"?*")&gt;Setup!$B$5,COUNTIF(Roster!AZ$7:AZ$26,"?*")&gt;Setup!$B$6),"CLASH","OK"))</f>
        <v/>
      </c>
      <c r="BA8" s="34" t="str">
        <f aca="false">IF(OR(Roster!$A8="",Roster!BA8=""),"",IF(OR(COUNTIFS(Roster!$B$7:$B$26,Roster!$B8,Roster!BA$7:BA$26,"?*")&gt;Setup!$B$5,COUNTIF(Roster!BA$7:BA$26,"?*")&gt;Setup!$B$6),"CLASH","OK"))</f>
        <v/>
      </c>
      <c r="BB8" s="34" t="str">
        <f aca="false">IF(OR(Roster!$A8="",Roster!BB8=""),"",IF(OR(COUNTIFS(Roster!$B$7:$B$26,Roster!$B8,Roster!BB$7:BB$26,"?*")&gt;Setup!$B$5,COUNTIF(Roster!BB$7:BB$26,"?*")&gt;Setup!$B$6),"CLASH","OK"))</f>
        <v/>
      </c>
      <c r="BC8" s="34" t="str">
        <f aca="false">IF(OR(Roster!$A8="",Roster!BC8=""),"",IF(OR(COUNTIFS(Roster!$B$7:$B$26,Roster!$B8,Roster!BC$7:BC$26,"?*")&gt;Setup!$B$5,COUNTIF(Roster!BC$7:BC$26,"?*")&gt;Setup!$B$6),"CLASH","OK"))</f>
        <v/>
      </c>
      <c r="BD8" s="34" t="str">
        <f aca="false">IF(OR(Roster!$A8="",Roster!BD8=""),"",IF(OR(COUNTIFS(Roster!$B$7:$B$26,Roster!$B8,Roster!BD$7:BD$26,"?*")&gt;Setup!$B$5,COUNTIF(Roster!BD$7:BD$26,"?*")&gt;Setup!$B$6),"CLASH","OK"))</f>
        <v/>
      </c>
      <c r="BE8" s="34" t="str">
        <f aca="false">IF(OR(Roster!$A8="",Roster!BE8=""),"",IF(OR(COUNTIFS(Roster!$B$7:$B$26,Roster!$B8,Roster!BE$7:BE$26,"?*")&gt;Setup!$B$5,COUNTIF(Roster!BE$7:BE$26,"?*")&gt;Setup!$B$6),"CLASH","OK"))</f>
        <v/>
      </c>
      <c r="BF8" s="34" t="str">
        <f aca="false">IF(OR(Roster!$A8="",Roster!BF8=""),"",IF(OR(COUNTIFS(Roster!$B$7:$B$26,Roster!$B8,Roster!BF$7:BF$26,"?*")&gt;Setup!$B$5,COUNTIF(Roster!BF$7:BF$26,"?*")&gt;Setup!$B$6),"CLASH","OK"))</f>
        <v/>
      </c>
      <c r="BG8" s="34" t="str">
        <f aca="false">IF(OR(Roster!$A8="",Roster!BG8=""),"",IF(OR(COUNTIFS(Roster!$B$7:$B$26,Roster!$B8,Roster!BG$7:BG$26,"?*")&gt;Setup!$B$5,COUNTIF(Roster!BG$7:BG$26,"?*")&gt;Setup!$B$6),"CLASH","OK"))</f>
        <v/>
      </c>
      <c r="BH8" s="34" t="str">
        <f aca="false">IF(OR(Roster!$A8="",Roster!BH8=""),"",IF(OR(COUNTIFS(Roster!$B$7:$B$26,Roster!$B8,Roster!BH$7:BH$26,"?*")&gt;Setup!$B$5,COUNTIF(Roster!BH$7:BH$26,"?*")&gt;Setup!$B$6),"CLASH","OK"))</f>
        <v/>
      </c>
      <c r="BI8" s="34" t="str">
        <f aca="false">IF(OR(Roster!$A8="",Roster!BI8=""),"",IF(OR(COUNTIFS(Roster!$B$7:$B$26,Roster!$B8,Roster!BI$7:BI$26,"?*")&gt;Setup!$B$5,COUNTIF(Roster!BI$7:BI$26,"?*")&gt;Setup!$B$6),"CLASH","OK"))</f>
        <v/>
      </c>
      <c r="BJ8" s="34" t="str">
        <f aca="false">IF(OR(Roster!$A8="",Roster!BJ8=""),"",IF(OR(COUNTIFS(Roster!$B$7:$B$26,Roster!$B8,Roster!BJ$7:BJ$26,"?*")&gt;Setup!$B$5,COUNTIF(Roster!BJ$7:BJ$26,"?*")&gt;Setup!$B$6),"CLASH","OK"))</f>
        <v/>
      </c>
      <c r="BK8" s="34" t="str">
        <f aca="false">IF(OR(Roster!$A8="",Roster!BK8=""),"",IF(OR(COUNTIFS(Roster!$B$7:$B$26,Roster!$B8,Roster!BK$7:BK$26,"?*")&gt;Setup!$B$5,COUNTIF(Roster!BK$7:BK$26,"?*")&gt;Setup!$B$6),"CLASH","OK"))</f>
        <v/>
      </c>
      <c r="BL8" s="34" t="str">
        <f aca="false">IF(OR(Roster!$A8="",Roster!BL8=""),"",IF(OR(COUNTIFS(Roster!$B$7:$B$26,Roster!$B8,Roster!BL$7:BL$26,"?*")&gt;Setup!$B$5,COUNTIF(Roster!BL$7:BL$26,"?*")&gt;Setup!$B$6),"CLASH","OK"))</f>
        <v/>
      </c>
      <c r="BM8" s="34" t="str">
        <f aca="false">IF(OR(Roster!$A8="",Roster!BM8=""),"",IF(OR(COUNTIFS(Roster!$B$7:$B$26,Roster!$B8,Roster!BM$7:BM$26,"?*")&gt;Setup!$B$5,COUNTIF(Roster!BM$7:BM$26,"?*")&gt;Setup!$B$6),"CLASH","OK"))</f>
        <v/>
      </c>
      <c r="BN8" s="34" t="str">
        <f aca="false">IF(OR(Roster!$A8="",Roster!BN8=""),"",IF(OR(COUNTIFS(Roster!$B$7:$B$26,Roster!$B8,Roster!BN$7:BN$26,"?*")&gt;Setup!$B$5,COUNTIF(Roster!BN$7:BN$26,"?*")&gt;Setup!$B$6),"CLASH","OK"))</f>
        <v/>
      </c>
      <c r="BO8" s="34" t="str">
        <f aca="false">IF(OR(Roster!$A8="",Roster!BO8=""),"",IF(OR(COUNTIFS(Roster!$B$7:$B$26,Roster!$B8,Roster!BO$7:BO$26,"?*")&gt;Setup!$B$5,COUNTIF(Roster!BO$7:BO$26,"?*")&gt;Setup!$B$6),"CLASH","OK"))</f>
        <v/>
      </c>
      <c r="BP8" s="34" t="str">
        <f aca="false">IF(OR(Roster!$A8="",Roster!BP8=""),"",IF(OR(COUNTIFS(Roster!$B$7:$B$26,Roster!$B8,Roster!BP$7:BP$26,"?*")&gt;Setup!$B$5,COUNTIF(Roster!BP$7:BP$26,"?*")&gt;Setup!$B$6),"CLASH","OK"))</f>
        <v/>
      </c>
      <c r="BQ8" s="34" t="str">
        <f aca="false">IF(OR(Roster!$A8="",Roster!BQ8=""),"",IF(OR(COUNTIFS(Roster!$B$7:$B$26,Roster!$B8,Roster!BQ$7:BQ$26,"?*")&gt;Setup!$B$5,COUNTIF(Roster!BQ$7:BQ$26,"?*")&gt;Setup!$B$6),"CLASH","OK"))</f>
        <v/>
      </c>
      <c r="BR8" s="34" t="str">
        <f aca="false">IF(OR(Roster!$A8="",Roster!BR8=""),"",IF(OR(COUNTIFS(Roster!$B$7:$B$26,Roster!$B8,Roster!BR$7:BR$26,"?*")&gt;Setup!$B$5,COUNTIF(Roster!BR$7:BR$26,"?*")&gt;Setup!$B$6),"CLASH","OK"))</f>
        <v/>
      </c>
      <c r="BS8" s="34" t="str">
        <f aca="false">IF(OR(Roster!$A8="",Roster!BS8=""),"",IF(OR(COUNTIFS(Roster!$B$7:$B$26,Roster!$B8,Roster!BS$7:BS$26,"?*")&gt;Setup!$B$5,COUNTIF(Roster!BS$7:BS$26,"?*")&gt;Setup!$B$6),"CLASH","OK"))</f>
        <v/>
      </c>
      <c r="BT8" s="34" t="str">
        <f aca="false">IF(OR(Roster!$A8="",Roster!BT8=""),"",IF(OR(COUNTIFS(Roster!$B$7:$B$26,Roster!$B8,Roster!BT$7:BT$26,"?*")&gt;Setup!$B$5,COUNTIF(Roster!BT$7:BT$26,"?*")&gt;Setup!$B$6),"CLASH","OK"))</f>
        <v/>
      </c>
      <c r="BU8" s="34" t="str">
        <f aca="false">IF(OR(Roster!$A8="",Roster!BU8=""),"",IF(OR(COUNTIFS(Roster!$B$7:$B$26,Roster!$B8,Roster!BU$7:BU$26,"?*")&gt;Setup!$B$5,COUNTIF(Roster!BU$7:BU$26,"?*")&gt;Setup!$B$6),"CLASH","OK"))</f>
        <v/>
      </c>
      <c r="BV8" s="34" t="str">
        <f aca="false">IF(OR(Roster!$A8="",Roster!BV8=""),"",IF(OR(COUNTIFS(Roster!$B$7:$B$26,Roster!$B8,Roster!BV$7:BV$26,"?*")&gt;Setup!$B$5,COUNTIF(Roster!BV$7:BV$26,"?*")&gt;Setup!$B$6),"CLASH","OK"))</f>
        <v/>
      </c>
      <c r="BW8" s="34" t="str">
        <f aca="false">IF(OR(Roster!$A8="",Roster!BW8=""),"",IF(OR(COUNTIFS(Roster!$B$7:$B$26,Roster!$B8,Roster!BW$7:BW$26,"?*")&gt;Setup!$B$5,COUNTIF(Roster!BW$7:BW$26,"?*")&gt;Setup!$B$6),"CLASH","OK"))</f>
        <v/>
      </c>
      <c r="BX8" s="34" t="str">
        <f aca="false">IF(OR(Roster!$A8="",Roster!BX8=""),"",IF(OR(COUNTIFS(Roster!$B$7:$B$26,Roster!$B8,Roster!BX$7:BX$26,"?*")&gt;Setup!$B$5,COUNTIF(Roster!BX$7:BX$26,"?*")&gt;Setup!$B$6),"CLASH","OK"))</f>
        <v/>
      </c>
      <c r="BY8" s="34" t="str">
        <f aca="false">IF(OR(Roster!$A8="",Roster!BY8=""),"",IF(OR(COUNTIFS(Roster!$B$7:$B$26,Roster!$B8,Roster!BY$7:BY$26,"?*")&gt;Setup!$B$5,COUNTIF(Roster!BY$7:BY$26,"?*")&gt;Setup!$B$6),"CLASH","OK"))</f>
        <v/>
      </c>
      <c r="BZ8" s="34" t="str">
        <f aca="false">IF(OR(Roster!$A8="",Roster!BZ8=""),"",IF(OR(COUNTIFS(Roster!$B$7:$B$26,Roster!$B8,Roster!BZ$7:BZ$26,"?*")&gt;Setup!$B$5,COUNTIF(Roster!BZ$7:BZ$26,"?*")&gt;Setup!$B$6),"CLASH","OK"))</f>
        <v/>
      </c>
      <c r="CA8" s="34" t="str">
        <f aca="false">IF(OR(Roster!$A8="",Roster!CA8=""),"",IF(OR(COUNTIFS(Roster!$B$7:$B$26,Roster!$B8,Roster!CA$7:CA$26,"?*")&gt;Setup!$B$5,COUNTIF(Roster!CA$7:CA$26,"?*")&gt;Setup!$B$6),"CLASH","OK"))</f>
        <v/>
      </c>
      <c r="CB8" s="34" t="str">
        <f aca="false">IF(OR(Roster!$A8="",Roster!CB8=""),"",IF(OR(COUNTIFS(Roster!$B$7:$B$26,Roster!$B8,Roster!CB$7:CB$26,"?*")&gt;Setup!$B$5,COUNTIF(Roster!CB$7:CB$26,"?*")&gt;Setup!$B$6),"CLASH","OK"))</f>
        <v/>
      </c>
      <c r="CC8" s="34" t="str">
        <f aca="false">IF(OR(Roster!$A8="",Roster!CC8=""),"",IF(OR(COUNTIFS(Roster!$B$7:$B$26,Roster!$B8,Roster!CC$7:CC$26,"?*")&gt;Setup!$B$5,COUNTIF(Roster!CC$7:CC$26,"?*")&gt;Setup!$B$6),"CLASH","OK"))</f>
        <v/>
      </c>
      <c r="CD8" s="34" t="str">
        <f aca="false">IF(OR(Roster!$A8="",Roster!CD8=""),"",IF(OR(COUNTIFS(Roster!$B$7:$B$26,Roster!$B8,Roster!CD$7:CD$26,"?*")&gt;Setup!$B$5,COUNTIF(Roster!CD$7:CD$26,"?*")&gt;Setup!$B$6),"CLASH","OK"))</f>
        <v/>
      </c>
      <c r="CE8" s="34" t="str">
        <f aca="false">IF(OR(Roster!$A8="",Roster!CE8=""),"",IF(OR(COUNTIFS(Roster!$B$7:$B$26,Roster!$B8,Roster!CE$7:CE$26,"?*")&gt;Setup!$B$5,COUNTIF(Roster!CE$7:CE$26,"?*")&gt;Setup!$B$6),"CLASH","OK"))</f>
        <v/>
      </c>
      <c r="CF8" s="34" t="str">
        <f aca="false">IF(OR(Roster!$A8="",Roster!CF8=""),"",IF(OR(COUNTIFS(Roster!$B$7:$B$26,Roster!$B8,Roster!CF$7:CF$26,"?*")&gt;Setup!$B$5,COUNTIF(Roster!CF$7:CF$26,"?*")&gt;Setup!$B$6),"CLASH","OK"))</f>
        <v/>
      </c>
      <c r="CG8" s="34" t="str">
        <f aca="false">IF(OR(Roster!$A8="",Roster!CG8=""),"",IF(OR(COUNTIFS(Roster!$B$7:$B$26,Roster!$B8,Roster!CG$7:CG$26,"?*")&gt;Setup!$B$5,COUNTIF(Roster!CG$7:CG$26,"?*")&gt;Setup!$B$6),"CLASH","OK"))</f>
        <v/>
      </c>
      <c r="CH8" s="34" t="str">
        <f aca="false">IF(OR(Roster!$A8="",Roster!CH8=""),"",IF(OR(COUNTIFS(Roster!$B$7:$B$26,Roster!$B8,Roster!CH$7:CH$26,"?*")&gt;Setup!$B$5,COUNTIF(Roster!CH$7:CH$26,"?*")&gt;Setup!$B$6),"CLASH","OK"))</f>
        <v/>
      </c>
      <c r="CI8" s="34" t="str">
        <f aca="false">IF(OR(Roster!$A8="",Roster!CI8=""),"",IF(OR(COUNTIFS(Roster!$B$7:$B$26,Roster!$B8,Roster!CI$7:CI$26,"?*")&gt;Setup!$B$5,COUNTIF(Roster!CI$7:CI$26,"?*")&gt;Setup!$B$6),"CLASH","OK"))</f>
        <v/>
      </c>
      <c r="CJ8" s="34" t="str">
        <f aca="false">IF(OR(Roster!$A8="",Roster!CJ8=""),"",IF(OR(COUNTIFS(Roster!$B$7:$B$26,Roster!$B8,Roster!CJ$7:CJ$26,"?*")&gt;Setup!$B$5,COUNTIF(Roster!CJ$7:CJ$26,"?*")&gt;Setup!$B$6),"CLASH","OK"))</f>
        <v/>
      </c>
      <c r="CK8" s="34" t="str">
        <f aca="false">IF(OR(Roster!$A8="",Roster!CK8=""),"",IF(OR(COUNTIFS(Roster!$B$7:$B$26,Roster!$B8,Roster!CK$7:CK$26,"?*")&gt;Setup!$B$5,COUNTIF(Roster!CK$7:CK$26,"?*")&gt;Setup!$B$6),"CLASH","OK"))</f>
        <v/>
      </c>
      <c r="CL8" s="34" t="str">
        <f aca="false">IF(OR(Roster!$A8="",Roster!CL8=""),"",IF(OR(COUNTIFS(Roster!$B$7:$B$26,Roster!$B8,Roster!CL$7:CL$26,"?*")&gt;Setup!$B$5,COUNTIF(Roster!CL$7:CL$26,"?*")&gt;Setup!$B$6),"CLASH","OK"))</f>
        <v/>
      </c>
      <c r="CM8" s="34" t="str">
        <f aca="false">IF(OR(Roster!$A8="",Roster!CM8=""),"",IF(OR(COUNTIFS(Roster!$B$7:$B$26,Roster!$B8,Roster!CM$7:CM$26,"?*")&gt;Setup!$B$5,COUNTIF(Roster!CM$7:CM$26,"?*")&gt;Setup!$B$6),"CLASH","OK"))</f>
        <v/>
      </c>
      <c r="CN8" s="34" t="str">
        <f aca="false">IF(OR(Roster!$A8="",Roster!CN8=""),"",IF(OR(COUNTIFS(Roster!$B$7:$B$26,Roster!$B8,Roster!CN$7:CN$26,"?*")&gt;Setup!$B$5,COUNTIF(Roster!CN$7:CN$26,"?*")&gt;Setup!$B$6),"CLASH","OK"))</f>
        <v/>
      </c>
      <c r="CO8" s="34" t="str">
        <f aca="false">IF(OR(Roster!$A8="",Roster!CO8=""),"",IF(OR(COUNTIFS(Roster!$B$7:$B$26,Roster!$B8,Roster!CO$7:CO$26,"?*")&gt;Setup!$B$5,COUNTIF(Roster!CO$7:CO$26,"?*")&gt;Setup!$B$6),"CLASH","OK"))</f>
        <v/>
      </c>
      <c r="CP8" s="34" t="str">
        <f aca="false">IF(OR(Roster!$A8="",Roster!CP8=""),"",IF(OR(COUNTIFS(Roster!$B$7:$B$26,Roster!$B8,Roster!CP$7:CP$26,"?*")&gt;Setup!$B$5,COUNTIF(Roster!CP$7:CP$26,"?*")&gt;Setup!$B$6),"CLASH","OK"))</f>
        <v/>
      </c>
      <c r="CQ8" s="34" t="str">
        <f aca="false">IF(OR(Roster!$A8="",Roster!CQ8=""),"",IF(OR(COUNTIFS(Roster!$B$7:$B$26,Roster!$B8,Roster!CQ$7:CQ$26,"?*")&gt;Setup!$B$5,COUNTIF(Roster!CQ$7:CQ$26,"?*")&gt;Setup!$B$6),"CLASH","OK"))</f>
        <v/>
      </c>
      <c r="CR8" s="34" t="str">
        <f aca="false">IF(OR(Roster!$A8="",Roster!CR8=""),"",IF(OR(COUNTIFS(Roster!$B$7:$B$26,Roster!$B8,Roster!CR$7:CR$26,"?*")&gt;Setup!$B$5,COUNTIF(Roster!CR$7:CR$26,"?*")&gt;Setup!$B$6),"CLASH","OK"))</f>
        <v/>
      </c>
      <c r="CS8" s="34" t="str">
        <f aca="false">IF(OR(Roster!$A8="",Roster!CS8=""),"",IF(OR(COUNTIFS(Roster!$B$7:$B$26,Roster!$B8,Roster!CS$7:CS$26,"?*")&gt;Setup!$B$5,COUNTIF(Roster!CS$7:CS$26,"?*")&gt;Setup!$B$6),"CLASH","OK"))</f>
        <v/>
      </c>
      <c r="CT8" s="34" t="str">
        <f aca="false">IF(OR(Roster!$A8="",Roster!CT8=""),"",IF(OR(COUNTIFS(Roster!$B$7:$B$26,Roster!$B8,Roster!CT$7:CT$26,"?*")&gt;Setup!$B$5,COUNTIF(Roster!CT$7:CT$26,"?*")&gt;Setup!$B$6),"CLASH","OK"))</f>
        <v/>
      </c>
      <c r="CU8" s="34" t="str">
        <f aca="false">IF(OR(Roster!$A8="",Roster!CU8=""),"",IF(OR(COUNTIFS(Roster!$B$7:$B$26,Roster!$B8,Roster!CU$7:CU$26,"?*")&gt;Setup!$B$5,COUNTIF(Roster!CU$7:CU$26,"?*")&gt;Setup!$B$6),"CLASH","OK"))</f>
        <v/>
      </c>
    </row>
    <row r="9" customFormat="false" ht="15" hidden="false" customHeight="false" outlineLevel="0" collapsed="false">
      <c r="A9" s="33" t="str">
        <f aca="false">IF(Roster!A9="","",Roster!A9)</f>
        <v>Chloe Martin</v>
      </c>
      <c r="B9" s="33" t="str">
        <f aca="false">IF(Roster!A9="","",Roster!B9)</f>
        <v>Finance</v>
      </c>
      <c r="H9" s="34" t="str">
        <f aca="false">IF(OR(Roster!$A9="",Roster!H9=""),"",IF(OR(COUNTIFS(Roster!$B$7:$B$26,Roster!$B9,Roster!H$7:H$26,"?*")&gt;Setup!$B$5,COUNTIF(Roster!H$7:H$26,"?*")&gt;Setup!$B$6),"CLASH","OK"))</f>
        <v/>
      </c>
      <c r="I9" s="34" t="str">
        <f aca="false">IF(OR(Roster!$A9="",Roster!I9=""),"",IF(OR(COUNTIFS(Roster!$B$7:$B$26,Roster!$B9,Roster!I$7:I$26,"?*")&gt;Setup!$B$5,COUNTIF(Roster!I$7:I$26,"?*")&gt;Setup!$B$6),"CLASH","OK"))</f>
        <v/>
      </c>
      <c r="J9" s="34" t="str">
        <f aca="false">IF(OR(Roster!$A9="",Roster!J9=""),"",IF(OR(COUNTIFS(Roster!$B$7:$B$26,Roster!$B9,Roster!J$7:J$26,"?*")&gt;Setup!$B$5,COUNTIF(Roster!J$7:J$26,"?*")&gt;Setup!$B$6),"CLASH","OK"))</f>
        <v/>
      </c>
      <c r="K9" s="34" t="str">
        <f aca="false">IF(OR(Roster!$A9="",Roster!K9=""),"",IF(OR(COUNTIFS(Roster!$B$7:$B$26,Roster!$B9,Roster!K$7:K$26,"?*")&gt;Setup!$B$5,COUNTIF(Roster!K$7:K$26,"?*")&gt;Setup!$B$6),"CLASH","OK"))</f>
        <v/>
      </c>
      <c r="L9" s="34" t="str">
        <f aca="false">IF(OR(Roster!$A9="",Roster!L9=""),"",IF(OR(COUNTIFS(Roster!$B$7:$B$26,Roster!$B9,Roster!L$7:L$26,"?*")&gt;Setup!$B$5,COUNTIF(Roster!L$7:L$26,"?*")&gt;Setup!$B$6),"CLASH","OK"))</f>
        <v/>
      </c>
      <c r="M9" s="34" t="str">
        <f aca="false">IF(OR(Roster!$A9="",Roster!M9=""),"",IF(OR(COUNTIFS(Roster!$B$7:$B$26,Roster!$B9,Roster!M$7:M$26,"?*")&gt;Setup!$B$5,COUNTIF(Roster!M$7:M$26,"?*")&gt;Setup!$B$6),"CLASH","OK"))</f>
        <v/>
      </c>
      <c r="N9" s="34" t="str">
        <f aca="false">IF(OR(Roster!$A9="",Roster!N9=""),"",IF(OR(COUNTIFS(Roster!$B$7:$B$26,Roster!$B9,Roster!N$7:N$26,"?*")&gt;Setup!$B$5,COUNTIF(Roster!N$7:N$26,"?*")&gt;Setup!$B$6),"CLASH","OK"))</f>
        <v/>
      </c>
      <c r="O9" s="34" t="str">
        <f aca="false">IF(OR(Roster!$A9="",Roster!O9=""),"",IF(OR(COUNTIFS(Roster!$B$7:$B$26,Roster!$B9,Roster!O$7:O$26,"?*")&gt;Setup!$B$5,COUNTIF(Roster!O$7:O$26,"?*")&gt;Setup!$B$6),"CLASH","OK"))</f>
        <v/>
      </c>
      <c r="P9" s="34" t="str">
        <f aca="false">IF(OR(Roster!$A9="",Roster!P9=""),"",IF(OR(COUNTIFS(Roster!$B$7:$B$26,Roster!$B9,Roster!P$7:P$26,"?*")&gt;Setup!$B$5,COUNTIF(Roster!P$7:P$26,"?*")&gt;Setup!$B$6),"CLASH","OK"))</f>
        <v/>
      </c>
      <c r="Q9" s="34" t="str">
        <f aca="false">IF(OR(Roster!$A9="",Roster!Q9=""),"",IF(OR(COUNTIFS(Roster!$B$7:$B$26,Roster!$B9,Roster!Q$7:Q$26,"?*")&gt;Setup!$B$5,COUNTIF(Roster!Q$7:Q$26,"?*")&gt;Setup!$B$6),"CLASH","OK"))</f>
        <v/>
      </c>
      <c r="R9" s="34" t="str">
        <f aca="false">IF(OR(Roster!$A9="",Roster!R9=""),"",IF(OR(COUNTIFS(Roster!$B$7:$B$26,Roster!$B9,Roster!R$7:R$26,"?*")&gt;Setup!$B$5,COUNTIF(Roster!R$7:R$26,"?*")&gt;Setup!$B$6),"CLASH","OK"))</f>
        <v/>
      </c>
      <c r="S9" s="34" t="str">
        <f aca="false">IF(OR(Roster!$A9="",Roster!S9=""),"",IF(OR(COUNTIFS(Roster!$B$7:$B$26,Roster!$B9,Roster!S$7:S$26,"?*")&gt;Setup!$B$5,COUNTIF(Roster!S$7:S$26,"?*")&gt;Setup!$B$6),"CLASH","OK"))</f>
        <v/>
      </c>
      <c r="T9" s="34" t="str">
        <f aca="false">IF(OR(Roster!$A9="",Roster!T9=""),"",IF(OR(COUNTIFS(Roster!$B$7:$B$26,Roster!$B9,Roster!T$7:T$26,"?*")&gt;Setup!$B$5,COUNTIF(Roster!T$7:T$26,"?*")&gt;Setup!$B$6),"CLASH","OK"))</f>
        <v/>
      </c>
      <c r="U9" s="34" t="str">
        <f aca="false">IF(OR(Roster!$A9="",Roster!U9=""),"",IF(OR(COUNTIFS(Roster!$B$7:$B$26,Roster!$B9,Roster!U$7:U$26,"?*")&gt;Setup!$B$5,COUNTIF(Roster!U$7:U$26,"?*")&gt;Setup!$B$6),"CLASH","OK"))</f>
        <v/>
      </c>
      <c r="V9" s="34" t="str">
        <f aca="false">IF(OR(Roster!$A9="",Roster!V9=""),"",IF(OR(COUNTIFS(Roster!$B$7:$B$26,Roster!$B9,Roster!V$7:V$26,"?*")&gt;Setup!$B$5,COUNTIF(Roster!V$7:V$26,"?*")&gt;Setup!$B$6),"CLASH","OK"))</f>
        <v/>
      </c>
      <c r="W9" s="34" t="str">
        <f aca="false">IF(OR(Roster!$A9="",Roster!W9=""),"",IF(OR(COUNTIFS(Roster!$B$7:$B$26,Roster!$B9,Roster!W$7:W$26,"?*")&gt;Setup!$B$5,COUNTIF(Roster!W$7:W$26,"?*")&gt;Setup!$B$6),"CLASH","OK"))</f>
        <v/>
      </c>
      <c r="X9" s="34" t="str">
        <f aca="false">IF(OR(Roster!$A9="",Roster!X9=""),"",IF(OR(COUNTIFS(Roster!$B$7:$B$26,Roster!$B9,Roster!X$7:X$26,"?*")&gt;Setup!$B$5,COUNTIF(Roster!X$7:X$26,"?*")&gt;Setup!$B$6),"CLASH","OK"))</f>
        <v/>
      </c>
      <c r="Y9" s="34" t="str">
        <f aca="false">IF(OR(Roster!$A9="",Roster!Y9=""),"",IF(OR(COUNTIFS(Roster!$B$7:$B$26,Roster!$B9,Roster!Y$7:Y$26,"?*")&gt;Setup!$B$5,COUNTIF(Roster!Y$7:Y$26,"?*")&gt;Setup!$B$6),"CLASH","OK"))</f>
        <v/>
      </c>
      <c r="Z9" s="34" t="str">
        <f aca="false">IF(OR(Roster!$A9="",Roster!Z9=""),"",IF(OR(COUNTIFS(Roster!$B$7:$B$26,Roster!$B9,Roster!Z$7:Z$26,"?*")&gt;Setup!$B$5,COUNTIF(Roster!Z$7:Z$26,"?*")&gt;Setup!$B$6),"CLASH","OK"))</f>
        <v/>
      </c>
      <c r="AA9" s="34" t="str">
        <f aca="false">IF(OR(Roster!$A9="",Roster!AA9=""),"",IF(OR(COUNTIFS(Roster!$B$7:$B$26,Roster!$B9,Roster!AA$7:AA$26,"?*")&gt;Setup!$B$5,COUNTIF(Roster!AA$7:AA$26,"?*")&gt;Setup!$B$6),"CLASH","OK"))</f>
        <v/>
      </c>
      <c r="AB9" s="34" t="str">
        <f aca="false">IF(OR(Roster!$A9="",Roster!AB9=""),"",IF(OR(COUNTIFS(Roster!$B$7:$B$26,Roster!$B9,Roster!AB$7:AB$26,"?*")&gt;Setup!$B$5,COUNTIF(Roster!AB$7:AB$26,"?*")&gt;Setup!$B$6),"CLASH","OK"))</f>
        <v/>
      </c>
      <c r="AC9" s="34" t="str">
        <f aca="false">IF(OR(Roster!$A9="",Roster!AC9=""),"",IF(OR(COUNTIFS(Roster!$B$7:$B$26,Roster!$B9,Roster!AC$7:AC$26,"?*")&gt;Setup!$B$5,COUNTIF(Roster!AC$7:AC$26,"?*")&gt;Setup!$B$6),"CLASH","OK"))</f>
        <v/>
      </c>
      <c r="AD9" s="34" t="str">
        <f aca="false">IF(OR(Roster!$A9="",Roster!AD9=""),"",IF(OR(COUNTIFS(Roster!$B$7:$B$26,Roster!$B9,Roster!AD$7:AD$26,"?*")&gt;Setup!$B$5,COUNTIF(Roster!AD$7:AD$26,"?*")&gt;Setup!$B$6),"CLASH","OK"))</f>
        <v/>
      </c>
      <c r="AE9" s="34" t="str">
        <f aca="false">IF(OR(Roster!$A9="",Roster!AE9=""),"",IF(OR(COUNTIFS(Roster!$B$7:$B$26,Roster!$B9,Roster!AE$7:AE$26,"?*")&gt;Setup!$B$5,COUNTIF(Roster!AE$7:AE$26,"?*")&gt;Setup!$B$6),"CLASH","OK"))</f>
        <v/>
      </c>
      <c r="AF9" s="34" t="str">
        <f aca="false">IF(OR(Roster!$A9="",Roster!AF9=""),"",IF(OR(COUNTIFS(Roster!$B$7:$B$26,Roster!$B9,Roster!AF$7:AF$26,"?*")&gt;Setup!$B$5,COUNTIF(Roster!AF$7:AF$26,"?*")&gt;Setup!$B$6),"CLASH","OK"))</f>
        <v/>
      </c>
      <c r="AG9" s="34" t="str">
        <f aca="false">IF(OR(Roster!$A9="",Roster!AG9=""),"",IF(OR(COUNTIFS(Roster!$B$7:$B$26,Roster!$B9,Roster!AG$7:AG$26,"?*")&gt;Setup!$B$5,COUNTIF(Roster!AG$7:AG$26,"?*")&gt;Setup!$B$6),"CLASH","OK"))</f>
        <v/>
      </c>
      <c r="AH9" s="34" t="str">
        <f aca="false">IF(OR(Roster!$A9="",Roster!AH9=""),"",IF(OR(COUNTIFS(Roster!$B$7:$B$26,Roster!$B9,Roster!AH$7:AH$26,"?*")&gt;Setup!$B$5,COUNTIF(Roster!AH$7:AH$26,"?*")&gt;Setup!$B$6),"CLASH","OK"))</f>
        <v/>
      </c>
      <c r="AI9" s="34" t="str">
        <f aca="false">IF(OR(Roster!$A9="",Roster!AI9=""),"",IF(OR(COUNTIFS(Roster!$B$7:$B$26,Roster!$B9,Roster!AI$7:AI$26,"?*")&gt;Setup!$B$5,COUNTIF(Roster!AI$7:AI$26,"?*")&gt;Setup!$B$6),"CLASH","OK"))</f>
        <v/>
      </c>
      <c r="AJ9" s="34" t="str">
        <f aca="false">IF(OR(Roster!$A9="",Roster!AJ9=""),"",IF(OR(COUNTIFS(Roster!$B$7:$B$26,Roster!$B9,Roster!AJ$7:AJ$26,"?*")&gt;Setup!$B$5,COUNTIF(Roster!AJ$7:AJ$26,"?*")&gt;Setup!$B$6),"CLASH","OK"))</f>
        <v/>
      </c>
      <c r="AK9" s="34" t="str">
        <f aca="false">IF(OR(Roster!$A9="",Roster!AK9=""),"",IF(OR(COUNTIFS(Roster!$B$7:$B$26,Roster!$B9,Roster!AK$7:AK$26,"?*")&gt;Setup!$B$5,COUNTIF(Roster!AK$7:AK$26,"?*")&gt;Setup!$B$6),"CLASH","OK"))</f>
        <v/>
      </c>
      <c r="AL9" s="34" t="str">
        <f aca="false">IF(OR(Roster!$A9="",Roster!AL9=""),"",IF(OR(COUNTIFS(Roster!$B$7:$B$26,Roster!$B9,Roster!AL$7:AL$26,"?*")&gt;Setup!$B$5,COUNTIF(Roster!AL$7:AL$26,"?*")&gt;Setup!$B$6),"CLASH","OK"))</f>
        <v/>
      </c>
      <c r="AM9" s="34" t="str">
        <f aca="false">IF(OR(Roster!$A9="",Roster!AM9=""),"",IF(OR(COUNTIFS(Roster!$B$7:$B$26,Roster!$B9,Roster!AM$7:AM$26,"?*")&gt;Setup!$B$5,COUNTIF(Roster!AM$7:AM$26,"?*")&gt;Setup!$B$6),"CLASH","OK"))</f>
        <v/>
      </c>
      <c r="AN9" s="34" t="str">
        <f aca="false">IF(OR(Roster!$A9="",Roster!AN9=""),"",IF(OR(COUNTIFS(Roster!$B$7:$B$26,Roster!$B9,Roster!AN$7:AN$26,"?*")&gt;Setup!$B$5,COUNTIF(Roster!AN$7:AN$26,"?*")&gt;Setup!$B$6),"CLASH","OK"))</f>
        <v/>
      </c>
      <c r="AO9" s="34" t="str">
        <f aca="false">IF(OR(Roster!$A9="",Roster!AO9=""),"",IF(OR(COUNTIFS(Roster!$B$7:$B$26,Roster!$B9,Roster!AO$7:AO$26,"?*")&gt;Setup!$B$5,COUNTIF(Roster!AO$7:AO$26,"?*")&gt;Setup!$B$6),"CLASH","OK"))</f>
        <v/>
      </c>
      <c r="AP9" s="34" t="str">
        <f aca="false">IF(OR(Roster!$A9="",Roster!AP9=""),"",IF(OR(COUNTIFS(Roster!$B$7:$B$26,Roster!$B9,Roster!AP$7:AP$26,"?*")&gt;Setup!$B$5,COUNTIF(Roster!AP$7:AP$26,"?*")&gt;Setup!$B$6),"CLASH","OK"))</f>
        <v/>
      </c>
      <c r="AQ9" s="34" t="str">
        <f aca="false">IF(OR(Roster!$A9="",Roster!AQ9=""),"",IF(OR(COUNTIFS(Roster!$B$7:$B$26,Roster!$B9,Roster!AQ$7:AQ$26,"?*")&gt;Setup!$B$5,COUNTIF(Roster!AQ$7:AQ$26,"?*")&gt;Setup!$B$6),"CLASH","OK"))</f>
        <v/>
      </c>
      <c r="AR9" s="34" t="str">
        <f aca="false">IF(OR(Roster!$A9="",Roster!AR9=""),"",IF(OR(COUNTIFS(Roster!$B$7:$B$26,Roster!$B9,Roster!AR$7:AR$26,"?*")&gt;Setup!$B$5,COUNTIF(Roster!AR$7:AR$26,"?*")&gt;Setup!$B$6),"CLASH","OK"))</f>
        <v/>
      </c>
      <c r="AS9" s="34" t="str">
        <f aca="false">IF(OR(Roster!$A9="",Roster!AS9=""),"",IF(OR(COUNTIFS(Roster!$B$7:$B$26,Roster!$B9,Roster!AS$7:AS$26,"?*")&gt;Setup!$B$5,COUNTIF(Roster!AS$7:AS$26,"?*")&gt;Setup!$B$6),"CLASH","OK"))</f>
        <v/>
      </c>
      <c r="AT9" s="34" t="str">
        <f aca="false">IF(OR(Roster!$A9="",Roster!AT9=""),"",IF(OR(COUNTIFS(Roster!$B$7:$B$26,Roster!$B9,Roster!AT$7:AT$26,"?*")&gt;Setup!$B$5,COUNTIF(Roster!AT$7:AT$26,"?*")&gt;Setup!$B$6),"CLASH","OK"))</f>
        <v/>
      </c>
      <c r="AU9" s="34" t="str">
        <f aca="false">IF(OR(Roster!$A9="",Roster!AU9=""),"",IF(OR(COUNTIFS(Roster!$B$7:$B$26,Roster!$B9,Roster!AU$7:AU$26,"?*")&gt;Setup!$B$5,COUNTIF(Roster!AU$7:AU$26,"?*")&gt;Setup!$B$6),"CLASH","OK"))</f>
        <v/>
      </c>
      <c r="AV9" s="34" t="str">
        <f aca="false">IF(OR(Roster!$A9="",Roster!AV9=""),"",IF(OR(COUNTIFS(Roster!$B$7:$B$26,Roster!$B9,Roster!AV$7:AV$26,"?*")&gt;Setup!$B$5,COUNTIF(Roster!AV$7:AV$26,"?*")&gt;Setup!$B$6),"CLASH","OK"))</f>
        <v/>
      </c>
      <c r="AW9" s="34" t="str">
        <f aca="false">IF(OR(Roster!$A9="",Roster!AW9=""),"",IF(OR(COUNTIFS(Roster!$B$7:$B$26,Roster!$B9,Roster!AW$7:AW$26,"?*")&gt;Setup!$B$5,COUNTIF(Roster!AW$7:AW$26,"?*")&gt;Setup!$B$6),"CLASH","OK"))</f>
        <v/>
      </c>
      <c r="AX9" s="34" t="str">
        <f aca="false">IF(OR(Roster!$A9="",Roster!AX9=""),"",IF(OR(COUNTIFS(Roster!$B$7:$B$26,Roster!$B9,Roster!AX$7:AX$26,"?*")&gt;Setup!$B$5,COUNTIF(Roster!AX$7:AX$26,"?*")&gt;Setup!$B$6),"CLASH","OK"))</f>
        <v/>
      </c>
      <c r="AY9" s="34" t="str">
        <f aca="false">IF(OR(Roster!$A9="",Roster!AY9=""),"",IF(OR(COUNTIFS(Roster!$B$7:$B$26,Roster!$B9,Roster!AY$7:AY$26,"?*")&gt;Setup!$B$5,COUNTIF(Roster!AY$7:AY$26,"?*")&gt;Setup!$B$6),"CLASH","OK"))</f>
        <v/>
      </c>
      <c r="AZ9" s="34" t="str">
        <f aca="false">IF(OR(Roster!$A9="",Roster!AZ9=""),"",IF(OR(COUNTIFS(Roster!$B$7:$B$26,Roster!$B9,Roster!AZ$7:AZ$26,"?*")&gt;Setup!$B$5,COUNTIF(Roster!AZ$7:AZ$26,"?*")&gt;Setup!$B$6),"CLASH","OK"))</f>
        <v/>
      </c>
      <c r="BA9" s="34" t="str">
        <f aca="false">IF(OR(Roster!$A9="",Roster!BA9=""),"",IF(OR(COUNTIFS(Roster!$B$7:$B$26,Roster!$B9,Roster!BA$7:BA$26,"?*")&gt;Setup!$B$5,COUNTIF(Roster!BA$7:BA$26,"?*")&gt;Setup!$B$6),"CLASH","OK"))</f>
        <v/>
      </c>
      <c r="BB9" s="34" t="str">
        <f aca="false">IF(OR(Roster!$A9="",Roster!BB9=""),"",IF(OR(COUNTIFS(Roster!$B$7:$B$26,Roster!$B9,Roster!BB$7:BB$26,"?*")&gt;Setup!$B$5,COUNTIF(Roster!BB$7:BB$26,"?*")&gt;Setup!$B$6),"CLASH","OK"))</f>
        <v/>
      </c>
      <c r="BC9" s="34" t="str">
        <f aca="false">IF(OR(Roster!$A9="",Roster!BC9=""),"",IF(OR(COUNTIFS(Roster!$B$7:$B$26,Roster!$B9,Roster!BC$7:BC$26,"?*")&gt;Setup!$B$5,COUNTIF(Roster!BC$7:BC$26,"?*")&gt;Setup!$B$6),"CLASH","OK"))</f>
        <v/>
      </c>
      <c r="BD9" s="34" t="str">
        <f aca="false">IF(OR(Roster!$A9="",Roster!BD9=""),"",IF(OR(COUNTIFS(Roster!$B$7:$B$26,Roster!$B9,Roster!BD$7:BD$26,"?*")&gt;Setup!$B$5,COUNTIF(Roster!BD$7:BD$26,"?*")&gt;Setup!$B$6),"CLASH","OK"))</f>
        <v/>
      </c>
      <c r="BE9" s="34" t="str">
        <f aca="false">IF(OR(Roster!$A9="",Roster!BE9=""),"",IF(OR(COUNTIFS(Roster!$B$7:$B$26,Roster!$B9,Roster!BE$7:BE$26,"?*")&gt;Setup!$B$5,COUNTIF(Roster!BE$7:BE$26,"?*")&gt;Setup!$B$6),"CLASH","OK"))</f>
        <v/>
      </c>
      <c r="BF9" s="34" t="str">
        <f aca="false">IF(OR(Roster!$A9="",Roster!BF9=""),"",IF(OR(COUNTIFS(Roster!$B$7:$B$26,Roster!$B9,Roster!BF$7:BF$26,"?*")&gt;Setup!$B$5,COUNTIF(Roster!BF$7:BF$26,"?*")&gt;Setup!$B$6),"CLASH","OK"))</f>
        <v/>
      </c>
      <c r="BG9" s="34" t="str">
        <f aca="false">IF(OR(Roster!$A9="",Roster!BG9=""),"",IF(OR(COUNTIFS(Roster!$B$7:$B$26,Roster!$B9,Roster!BG$7:BG$26,"?*")&gt;Setup!$B$5,COUNTIF(Roster!BG$7:BG$26,"?*")&gt;Setup!$B$6),"CLASH","OK"))</f>
        <v/>
      </c>
      <c r="BH9" s="34" t="str">
        <f aca="false">IF(OR(Roster!$A9="",Roster!BH9=""),"",IF(OR(COUNTIFS(Roster!$B$7:$B$26,Roster!$B9,Roster!BH$7:BH$26,"?*")&gt;Setup!$B$5,COUNTIF(Roster!BH$7:BH$26,"?*")&gt;Setup!$B$6),"CLASH","OK"))</f>
        <v/>
      </c>
      <c r="BI9" s="34" t="str">
        <f aca="false">IF(OR(Roster!$A9="",Roster!BI9=""),"",IF(OR(COUNTIFS(Roster!$B$7:$B$26,Roster!$B9,Roster!BI$7:BI$26,"?*")&gt;Setup!$B$5,COUNTIF(Roster!BI$7:BI$26,"?*")&gt;Setup!$B$6),"CLASH","OK"))</f>
        <v/>
      </c>
      <c r="BJ9" s="34" t="str">
        <f aca="false">IF(OR(Roster!$A9="",Roster!BJ9=""),"",IF(OR(COUNTIFS(Roster!$B$7:$B$26,Roster!$B9,Roster!BJ$7:BJ$26,"?*")&gt;Setup!$B$5,COUNTIF(Roster!BJ$7:BJ$26,"?*")&gt;Setup!$B$6),"CLASH","OK"))</f>
        <v/>
      </c>
      <c r="BK9" s="34" t="str">
        <f aca="false">IF(OR(Roster!$A9="",Roster!BK9=""),"",IF(OR(COUNTIFS(Roster!$B$7:$B$26,Roster!$B9,Roster!BK$7:BK$26,"?*")&gt;Setup!$B$5,COUNTIF(Roster!BK$7:BK$26,"?*")&gt;Setup!$B$6),"CLASH","OK"))</f>
        <v/>
      </c>
      <c r="BL9" s="34" t="str">
        <f aca="false">IF(OR(Roster!$A9="",Roster!BL9=""),"",IF(OR(COUNTIFS(Roster!$B$7:$B$26,Roster!$B9,Roster!BL$7:BL$26,"?*")&gt;Setup!$B$5,COUNTIF(Roster!BL$7:BL$26,"?*")&gt;Setup!$B$6),"CLASH","OK"))</f>
        <v/>
      </c>
      <c r="BM9" s="34" t="str">
        <f aca="false">IF(OR(Roster!$A9="",Roster!BM9=""),"",IF(OR(COUNTIFS(Roster!$B$7:$B$26,Roster!$B9,Roster!BM$7:BM$26,"?*")&gt;Setup!$B$5,COUNTIF(Roster!BM$7:BM$26,"?*")&gt;Setup!$B$6),"CLASH","OK"))</f>
        <v/>
      </c>
      <c r="BN9" s="34" t="str">
        <f aca="false">IF(OR(Roster!$A9="",Roster!BN9=""),"",IF(OR(COUNTIFS(Roster!$B$7:$B$26,Roster!$B9,Roster!BN$7:BN$26,"?*")&gt;Setup!$B$5,COUNTIF(Roster!BN$7:BN$26,"?*")&gt;Setup!$B$6),"CLASH","OK"))</f>
        <v/>
      </c>
      <c r="BO9" s="34" t="str">
        <f aca="false">IF(OR(Roster!$A9="",Roster!BO9=""),"",IF(OR(COUNTIFS(Roster!$B$7:$B$26,Roster!$B9,Roster!BO$7:BO$26,"?*")&gt;Setup!$B$5,COUNTIF(Roster!BO$7:BO$26,"?*")&gt;Setup!$B$6),"CLASH","OK"))</f>
        <v/>
      </c>
      <c r="BP9" s="34" t="str">
        <f aca="false">IF(OR(Roster!$A9="",Roster!BP9=""),"",IF(OR(COUNTIFS(Roster!$B$7:$B$26,Roster!$B9,Roster!BP$7:BP$26,"?*")&gt;Setup!$B$5,COUNTIF(Roster!BP$7:BP$26,"?*")&gt;Setup!$B$6),"CLASH","OK"))</f>
        <v/>
      </c>
      <c r="BQ9" s="34" t="str">
        <f aca="false">IF(OR(Roster!$A9="",Roster!BQ9=""),"",IF(OR(COUNTIFS(Roster!$B$7:$B$26,Roster!$B9,Roster!BQ$7:BQ$26,"?*")&gt;Setup!$B$5,COUNTIF(Roster!BQ$7:BQ$26,"?*")&gt;Setup!$B$6),"CLASH","OK"))</f>
        <v/>
      </c>
      <c r="BR9" s="34" t="str">
        <f aca="false">IF(OR(Roster!$A9="",Roster!BR9=""),"",IF(OR(COUNTIFS(Roster!$B$7:$B$26,Roster!$B9,Roster!BR$7:BR$26,"?*")&gt;Setup!$B$5,COUNTIF(Roster!BR$7:BR$26,"?*")&gt;Setup!$B$6),"CLASH","OK"))</f>
        <v/>
      </c>
      <c r="BS9" s="34" t="str">
        <f aca="false">IF(OR(Roster!$A9="",Roster!BS9=""),"",IF(OR(COUNTIFS(Roster!$B$7:$B$26,Roster!$B9,Roster!BS$7:BS$26,"?*")&gt;Setup!$B$5,COUNTIF(Roster!BS$7:BS$26,"?*")&gt;Setup!$B$6),"CLASH","OK"))</f>
        <v/>
      </c>
      <c r="BT9" s="34" t="str">
        <f aca="false">IF(OR(Roster!$A9="",Roster!BT9=""),"",IF(OR(COUNTIFS(Roster!$B$7:$B$26,Roster!$B9,Roster!BT$7:BT$26,"?*")&gt;Setup!$B$5,COUNTIF(Roster!BT$7:BT$26,"?*")&gt;Setup!$B$6),"CLASH","OK"))</f>
        <v/>
      </c>
      <c r="BU9" s="34" t="str">
        <f aca="false">IF(OR(Roster!$A9="",Roster!BU9=""),"",IF(OR(COUNTIFS(Roster!$B$7:$B$26,Roster!$B9,Roster!BU$7:BU$26,"?*")&gt;Setup!$B$5,COUNTIF(Roster!BU$7:BU$26,"?*")&gt;Setup!$B$6),"CLASH","OK"))</f>
        <v/>
      </c>
      <c r="BV9" s="34" t="str">
        <f aca="false">IF(OR(Roster!$A9="",Roster!BV9=""),"",IF(OR(COUNTIFS(Roster!$B$7:$B$26,Roster!$B9,Roster!BV$7:BV$26,"?*")&gt;Setup!$B$5,COUNTIF(Roster!BV$7:BV$26,"?*")&gt;Setup!$B$6),"CLASH","OK"))</f>
        <v/>
      </c>
      <c r="BW9" s="34" t="str">
        <f aca="false">IF(OR(Roster!$A9="",Roster!BW9=""),"",IF(OR(COUNTIFS(Roster!$B$7:$B$26,Roster!$B9,Roster!BW$7:BW$26,"?*")&gt;Setup!$B$5,COUNTIF(Roster!BW$7:BW$26,"?*")&gt;Setup!$B$6),"CLASH","OK"))</f>
        <v/>
      </c>
      <c r="BX9" s="34" t="str">
        <f aca="false">IF(OR(Roster!$A9="",Roster!BX9=""),"",IF(OR(COUNTIFS(Roster!$B$7:$B$26,Roster!$B9,Roster!BX$7:BX$26,"?*")&gt;Setup!$B$5,COUNTIF(Roster!BX$7:BX$26,"?*")&gt;Setup!$B$6),"CLASH","OK"))</f>
        <v/>
      </c>
      <c r="BY9" s="34" t="str">
        <f aca="false">IF(OR(Roster!$A9="",Roster!BY9=""),"",IF(OR(COUNTIFS(Roster!$B$7:$B$26,Roster!$B9,Roster!BY$7:BY$26,"?*")&gt;Setup!$B$5,COUNTIF(Roster!BY$7:BY$26,"?*")&gt;Setup!$B$6),"CLASH","OK"))</f>
        <v/>
      </c>
      <c r="BZ9" s="34" t="str">
        <f aca="false">IF(OR(Roster!$A9="",Roster!BZ9=""),"",IF(OR(COUNTIFS(Roster!$B$7:$B$26,Roster!$B9,Roster!BZ$7:BZ$26,"?*")&gt;Setup!$B$5,COUNTIF(Roster!BZ$7:BZ$26,"?*")&gt;Setup!$B$6),"CLASH","OK"))</f>
        <v/>
      </c>
      <c r="CA9" s="34" t="str">
        <f aca="false">IF(OR(Roster!$A9="",Roster!CA9=""),"",IF(OR(COUNTIFS(Roster!$B$7:$B$26,Roster!$B9,Roster!CA$7:CA$26,"?*")&gt;Setup!$B$5,COUNTIF(Roster!CA$7:CA$26,"?*")&gt;Setup!$B$6),"CLASH","OK"))</f>
        <v/>
      </c>
      <c r="CB9" s="34" t="str">
        <f aca="false">IF(OR(Roster!$A9="",Roster!CB9=""),"",IF(OR(COUNTIFS(Roster!$B$7:$B$26,Roster!$B9,Roster!CB$7:CB$26,"?*")&gt;Setup!$B$5,COUNTIF(Roster!CB$7:CB$26,"?*")&gt;Setup!$B$6),"CLASH","OK"))</f>
        <v/>
      </c>
      <c r="CC9" s="34" t="str">
        <f aca="false">IF(OR(Roster!$A9="",Roster!CC9=""),"",IF(OR(COUNTIFS(Roster!$B$7:$B$26,Roster!$B9,Roster!CC$7:CC$26,"?*")&gt;Setup!$B$5,COUNTIF(Roster!CC$7:CC$26,"?*")&gt;Setup!$B$6),"CLASH","OK"))</f>
        <v/>
      </c>
      <c r="CD9" s="34" t="str">
        <f aca="false">IF(OR(Roster!$A9="",Roster!CD9=""),"",IF(OR(COUNTIFS(Roster!$B$7:$B$26,Roster!$B9,Roster!CD$7:CD$26,"?*")&gt;Setup!$B$5,COUNTIF(Roster!CD$7:CD$26,"?*")&gt;Setup!$B$6),"CLASH","OK"))</f>
        <v/>
      </c>
      <c r="CE9" s="34" t="str">
        <f aca="false">IF(OR(Roster!$A9="",Roster!CE9=""),"",IF(OR(COUNTIFS(Roster!$B$7:$B$26,Roster!$B9,Roster!CE$7:CE$26,"?*")&gt;Setup!$B$5,COUNTIF(Roster!CE$7:CE$26,"?*")&gt;Setup!$B$6),"CLASH","OK"))</f>
        <v/>
      </c>
      <c r="CF9" s="34" t="str">
        <f aca="false">IF(OR(Roster!$A9="",Roster!CF9=""),"",IF(OR(COUNTIFS(Roster!$B$7:$B$26,Roster!$B9,Roster!CF$7:CF$26,"?*")&gt;Setup!$B$5,COUNTIF(Roster!CF$7:CF$26,"?*")&gt;Setup!$B$6),"CLASH","OK"))</f>
        <v/>
      </c>
      <c r="CG9" s="34" t="str">
        <f aca="false">IF(OR(Roster!$A9="",Roster!CG9=""),"",IF(OR(COUNTIFS(Roster!$B$7:$B$26,Roster!$B9,Roster!CG$7:CG$26,"?*")&gt;Setup!$B$5,COUNTIF(Roster!CG$7:CG$26,"?*")&gt;Setup!$B$6),"CLASH","OK"))</f>
        <v/>
      </c>
      <c r="CH9" s="34" t="str">
        <f aca="false">IF(OR(Roster!$A9="",Roster!CH9=""),"",IF(OR(COUNTIFS(Roster!$B$7:$B$26,Roster!$B9,Roster!CH$7:CH$26,"?*")&gt;Setup!$B$5,COUNTIF(Roster!CH$7:CH$26,"?*")&gt;Setup!$B$6),"CLASH","OK"))</f>
        <v/>
      </c>
      <c r="CI9" s="34" t="str">
        <f aca="false">IF(OR(Roster!$A9="",Roster!CI9=""),"",IF(OR(COUNTIFS(Roster!$B$7:$B$26,Roster!$B9,Roster!CI$7:CI$26,"?*")&gt;Setup!$B$5,COUNTIF(Roster!CI$7:CI$26,"?*")&gt;Setup!$B$6),"CLASH","OK"))</f>
        <v/>
      </c>
      <c r="CJ9" s="34" t="str">
        <f aca="false">IF(OR(Roster!$A9="",Roster!CJ9=""),"",IF(OR(COUNTIFS(Roster!$B$7:$B$26,Roster!$B9,Roster!CJ$7:CJ$26,"?*")&gt;Setup!$B$5,COUNTIF(Roster!CJ$7:CJ$26,"?*")&gt;Setup!$B$6),"CLASH","OK"))</f>
        <v/>
      </c>
      <c r="CK9" s="34" t="str">
        <f aca="false">IF(OR(Roster!$A9="",Roster!CK9=""),"",IF(OR(COUNTIFS(Roster!$B$7:$B$26,Roster!$B9,Roster!CK$7:CK$26,"?*")&gt;Setup!$B$5,COUNTIF(Roster!CK$7:CK$26,"?*")&gt;Setup!$B$6),"CLASH","OK"))</f>
        <v>OK</v>
      </c>
      <c r="CL9" s="34" t="str">
        <f aca="false">IF(OR(Roster!$A9="",Roster!CL9=""),"",IF(OR(COUNTIFS(Roster!$B$7:$B$26,Roster!$B9,Roster!CL$7:CL$26,"?*")&gt;Setup!$B$5,COUNTIF(Roster!CL$7:CL$26,"?*")&gt;Setup!$B$6),"CLASH","OK"))</f>
        <v>OK</v>
      </c>
      <c r="CM9" s="34" t="str">
        <f aca="false">IF(OR(Roster!$A9="",Roster!CM9=""),"",IF(OR(COUNTIFS(Roster!$B$7:$B$26,Roster!$B9,Roster!CM$7:CM$26,"?*")&gt;Setup!$B$5,COUNTIF(Roster!CM$7:CM$26,"?*")&gt;Setup!$B$6),"CLASH","OK"))</f>
        <v>OK</v>
      </c>
      <c r="CN9" s="34" t="str">
        <f aca="false">IF(OR(Roster!$A9="",Roster!CN9=""),"",IF(OR(COUNTIFS(Roster!$B$7:$B$26,Roster!$B9,Roster!CN$7:CN$26,"?*")&gt;Setup!$B$5,COUNTIF(Roster!CN$7:CN$26,"?*")&gt;Setup!$B$6),"CLASH","OK"))</f>
        <v>OK</v>
      </c>
      <c r="CO9" s="34" t="str">
        <f aca="false">IF(OR(Roster!$A9="",Roster!CO9=""),"",IF(OR(COUNTIFS(Roster!$B$7:$B$26,Roster!$B9,Roster!CO$7:CO$26,"?*")&gt;Setup!$B$5,COUNTIF(Roster!CO$7:CO$26,"?*")&gt;Setup!$B$6),"CLASH","OK"))</f>
        <v/>
      </c>
      <c r="CP9" s="34" t="str">
        <f aca="false">IF(OR(Roster!$A9="",Roster!CP9=""),"",IF(OR(COUNTIFS(Roster!$B$7:$B$26,Roster!$B9,Roster!CP$7:CP$26,"?*")&gt;Setup!$B$5,COUNTIF(Roster!CP$7:CP$26,"?*")&gt;Setup!$B$6),"CLASH","OK"))</f>
        <v/>
      </c>
      <c r="CQ9" s="34" t="str">
        <f aca="false">IF(OR(Roster!$A9="",Roster!CQ9=""),"",IF(OR(COUNTIFS(Roster!$B$7:$B$26,Roster!$B9,Roster!CQ$7:CQ$26,"?*")&gt;Setup!$B$5,COUNTIF(Roster!CQ$7:CQ$26,"?*")&gt;Setup!$B$6),"CLASH","OK"))</f>
        <v/>
      </c>
      <c r="CR9" s="34" t="str">
        <f aca="false">IF(OR(Roster!$A9="",Roster!CR9=""),"",IF(OR(COUNTIFS(Roster!$B$7:$B$26,Roster!$B9,Roster!CR$7:CR$26,"?*")&gt;Setup!$B$5,COUNTIF(Roster!CR$7:CR$26,"?*")&gt;Setup!$B$6),"CLASH","OK"))</f>
        <v/>
      </c>
      <c r="CS9" s="34" t="str">
        <f aca="false">IF(OR(Roster!$A9="",Roster!CS9=""),"",IF(OR(COUNTIFS(Roster!$B$7:$B$26,Roster!$B9,Roster!CS$7:CS$26,"?*")&gt;Setup!$B$5,COUNTIF(Roster!CS$7:CS$26,"?*")&gt;Setup!$B$6),"CLASH","OK"))</f>
        <v/>
      </c>
      <c r="CT9" s="34" t="str">
        <f aca="false">IF(OR(Roster!$A9="",Roster!CT9=""),"",IF(OR(COUNTIFS(Roster!$B$7:$B$26,Roster!$B9,Roster!CT$7:CT$26,"?*")&gt;Setup!$B$5,COUNTIF(Roster!CT$7:CT$26,"?*")&gt;Setup!$B$6),"CLASH","OK"))</f>
        <v/>
      </c>
      <c r="CU9" s="34" t="str">
        <f aca="false">IF(OR(Roster!$A9="",Roster!CU9=""),"",IF(OR(COUNTIFS(Roster!$B$7:$B$26,Roster!$B9,Roster!CU$7:CU$26,"?*")&gt;Setup!$B$5,COUNTIF(Roster!CU$7:CU$26,"?*")&gt;Setup!$B$6),"CLASH","OK"))</f>
        <v/>
      </c>
    </row>
    <row r="10" customFormat="false" ht="15" hidden="false" customHeight="false" outlineLevel="0" collapsed="false">
      <c r="A10" s="33" t="str">
        <f aca="false">IF(Roster!A10="","",Roster!A10)</f>
        <v>David Chen</v>
      </c>
      <c r="B10" s="33" t="str">
        <f aca="false">IF(Roster!A10="","",Roster!B10)</f>
        <v>Finance</v>
      </c>
      <c r="H10" s="34" t="str">
        <f aca="false">IF(OR(Roster!$A10="",Roster!H10=""),"",IF(OR(COUNTIFS(Roster!$B$7:$B$26,Roster!$B10,Roster!H$7:H$26,"?*")&gt;Setup!$B$5,COUNTIF(Roster!H$7:H$26,"?*")&gt;Setup!$B$6),"CLASH","OK"))</f>
        <v/>
      </c>
      <c r="I10" s="34" t="str">
        <f aca="false">IF(OR(Roster!$A10="",Roster!I10=""),"",IF(OR(COUNTIFS(Roster!$B$7:$B$26,Roster!$B10,Roster!I$7:I$26,"?*")&gt;Setup!$B$5,COUNTIF(Roster!I$7:I$26,"?*")&gt;Setup!$B$6),"CLASH","OK"))</f>
        <v/>
      </c>
      <c r="J10" s="34" t="str">
        <f aca="false">IF(OR(Roster!$A10="",Roster!J10=""),"",IF(OR(COUNTIFS(Roster!$B$7:$B$26,Roster!$B10,Roster!J$7:J$26,"?*")&gt;Setup!$B$5,COUNTIF(Roster!J$7:J$26,"?*")&gt;Setup!$B$6),"CLASH","OK"))</f>
        <v/>
      </c>
      <c r="K10" s="34" t="str">
        <f aca="false">IF(OR(Roster!$A10="",Roster!K10=""),"",IF(OR(COUNTIFS(Roster!$B$7:$B$26,Roster!$B10,Roster!K$7:K$26,"?*")&gt;Setup!$B$5,COUNTIF(Roster!K$7:K$26,"?*")&gt;Setup!$B$6),"CLASH","OK"))</f>
        <v/>
      </c>
      <c r="L10" s="34" t="str">
        <f aca="false">IF(OR(Roster!$A10="",Roster!L10=""),"",IF(OR(COUNTIFS(Roster!$B$7:$B$26,Roster!$B10,Roster!L$7:L$26,"?*")&gt;Setup!$B$5,COUNTIF(Roster!L$7:L$26,"?*")&gt;Setup!$B$6),"CLASH","OK"))</f>
        <v/>
      </c>
      <c r="M10" s="34" t="str">
        <f aca="false">IF(OR(Roster!$A10="",Roster!M10=""),"",IF(OR(COUNTIFS(Roster!$B$7:$B$26,Roster!$B10,Roster!M$7:M$26,"?*")&gt;Setup!$B$5,COUNTIF(Roster!M$7:M$26,"?*")&gt;Setup!$B$6),"CLASH","OK"))</f>
        <v/>
      </c>
      <c r="N10" s="34" t="str">
        <f aca="false">IF(OR(Roster!$A10="",Roster!N10=""),"",IF(OR(COUNTIFS(Roster!$B$7:$B$26,Roster!$B10,Roster!N$7:N$26,"?*")&gt;Setup!$B$5,COUNTIF(Roster!N$7:N$26,"?*")&gt;Setup!$B$6),"CLASH","OK"))</f>
        <v/>
      </c>
      <c r="O10" s="34" t="str">
        <f aca="false">IF(OR(Roster!$A10="",Roster!O10=""),"",IF(OR(COUNTIFS(Roster!$B$7:$B$26,Roster!$B10,Roster!O$7:O$26,"?*")&gt;Setup!$B$5,COUNTIF(Roster!O$7:O$26,"?*")&gt;Setup!$B$6),"CLASH","OK"))</f>
        <v/>
      </c>
      <c r="P10" s="34" t="str">
        <f aca="false">IF(OR(Roster!$A10="",Roster!P10=""),"",IF(OR(COUNTIFS(Roster!$B$7:$B$26,Roster!$B10,Roster!P$7:P$26,"?*")&gt;Setup!$B$5,COUNTIF(Roster!P$7:P$26,"?*")&gt;Setup!$B$6),"CLASH","OK"))</f>
        <v/>
      </c>
      <c r="Q10" s="34" t="str">
        <f aca="false">IF(OR(Roster!$A10="",Roster!Q10=""),"",IF(OR(COUNTIFS(Roster!$B$7:$B$26,Roster!$B10,Roster!Q$7:Q$26,"?*")&gt;Setup!$B$5,COUNTIF(Roster!Q$7:Q$26,"?*")&gt;Setup!$B$6),"CLASH","OK"))</f>
        <v/>
      </c>
      <c r="R10" s="34" t="str">
        <f aca="false">IF(OR(Roster!$A10="",Roster!R10=""),"",IF(OR(COUNTIFS(Roster!$B$7:$B$26,Roster!$B10,Roster!R$7:R$26,"?*")&gt;Setup!$B$5,COUNTIF(Roster!R$7:R$26,"?*")&gt;Setup!$B$6),"CLASH","OK"))</f>
        <v/>
      </c>
      <c r="S10" s="34" t="str">
        <f aca="false">IF(OR(Roster!$A10="",Roster!S10=""),"",IF(OR(COUNTIFS(Roster!$B$7:$B$26,Roster!$B10,Roster!S$7:S$26,"?*")&gt;Setup!$B$5,COUNTIF(Roster!S$7:S$26,"?*")&gt;Setup!$B$6),"CLASH","OK"))</f>
        <v/>
      </c>
      <c r="T10" s="34" t="str">
        <f aca="false">IF(OR(Roster!$A10="",Roster!T10=""),"",IF(OR(COUNTIFS(Roster!$B$7:$B$26,Roster!$B10,Roster!T$7:T$26,"?*")&gt;Setup!$B$5,COUNTIF(Roster!T$7:T$26,"?*")&gt;Setup!$B$6),"CLASH","OK"))</f>
        <v/>
      </c>
      <c r="U10" s="34" t="str">
        <f aca="false">IF(OR(Roster!$A10="",Roster!U10=""),"",IF(OR(COUNTIFS(Roster!$B$7:$B$26,Roster!$B10,Roster!U$7:U$26,"?*")&gt;Setup!$B$5,COUNTIF(Roster!U$7:U$26,"?*")&gt;Setup!$B$6),"CLASH","OK"))</f>
        <v/>
      </c>
      <c r="V10" s="34" t="str">
        <f aca="false">IF(OR(Roster!$A10="",Roster!V10=""),"",IF(OR(COUNTIFS(Roster!$B$7:$B$26,Roster!$B10,Roster!V$7:V$26,"?*")&gt;Setup!$B$5,COUNTIF(Roster!V$7:V$26,"?*")&gt;Setup!$B$6),"CLASH","OK"))</f>
        <v/>
      </c>
      <c r="W10" s="34" t="str">
        <f aca="false">IF(OR(Roster!$A10="",Roster!W10=""),"",IF(OR(COUNTIFS(Roster!$B$7:$B$26,Roster!$B10,Roster!W$7:W$26,"?*")&gt;Setup!$B$5,COUNTIF(Roster!W$7:W$26,"?*")&gt;Setup!$B$6),"CLASH","OK"))</f>
        <v/>
      </c>
      <c r="X10" s="34" t="str">
        <f aca="false">IF(OR(Roster!$A10="",Roster!X10=""),"",IF(OR(COUNTIFS(Roster!$B$7:$B$26,Roster!$B10,Roster!X$7:X$26,"?*")&gt;Setup!$B$5,COUNTIF(Roster!X$7:X$26,"?*")&gt;Setup!$B$6),"CLASH","OK"))</f>
        <v/>
      </c>
      <c r="Y10" s="34" t="str">
        <f aca="false">IF(OR(Roster!$A10="",Roster!Y10=""),"",IF(OR(COUNTIFS(Roster!$B$7:$B$26,Roster!$B10,Roster!Y$7:Y$26,"?*")&gt;Setup!$B$5,COUNTIF(Roster!Y$7:Y$26,"?*")&gt;Setup!$B$6),"CLASH","OK"))</f>
        <v/>
      </c>
      <c r="Z10" s="34" t="str">
        <f aca="false">IF(OR(Roster!$A10="",Roster!Z10=""),"",IF(OR(COUNTIFS(Roster!$B$7:$B$26,Roster!$B10,Roster!Z$7:Z$26,"?*")&gt;Setup!$B$5,COUNTIF(Roster!Z$7:Z$26,"?*")&gt;Setup!$B$6),"CLASH","OK"))</f>
        <v/>
      </c>
      <c r="AA10" s="34" t="str">
        <f aca="false">IF(OR(Roster!$A10="",Roster!AA10=""),"",IF(OR(COUNTIFS(Roster!$B$7:$B$26,Roster!$B10,Roster!AA$7:AA$26,"?*")&gt;Setup!$B$5,COUNTIF(Roster!AA$7:AA$26,"?*")&gt;Setup!$B$6),"CLASH","OK"))</f>
        <v/>
      </c>
      <c r="AB10" s="34" t="str">
        <f aca="false">IF(OR(Roster!$A10="",Roster!AB10=""),"",IF(OR(COUNTIFS(Roster!$B$7:$B$26,Roster!$B10,Roster!AB$7:AB$26,"?*")&gt;Setup!$B$5,COUNTIF(Roster!AB$7:AB$26,"?*")&gt;Setup!$B$6),"CLASH","OK"))</f>
        <v/>
      </c>
      <c r="AC10" s="34" t="str">
        <f aca="false">IF(OR(Roster!$A10="",Roster!AC10=""),"",IF(OR(COUNTIFS(Roster!$B$7:$B$26,Roster!$B10,Roster!AC$7:AC$26,"?*")&gt;Setup!$B$5,COUNTIF(Roster!AC$7:AC$26,"?*")&gt;Setup!$B$6),"CLASH","OK"))</f>
        <v/>
      </c>
      <c r="AD10" s="34" t="str">
        <f aca="false">IF(OR(Roster!$A10="",Roster!AD10=""),"",IF(OR(COUNTIFS(Roster!$B$7:$B$26,Roster!$B10,Roster!AD$7:AD$26,"?*")&gt;Setup!$B$5,COUNTIF(Roster!AD$7:AD$26,"?*")&gt;Setup!$B$6),"CLASH","OK"))</f>
        <v/>
      </c>
      <c r="AE10" s="34" t="str">
        <f aca="false">IF(OR(Roster!$A10="",Roster!AE10=""),"",IF(OR(COUNTIFS(Roster!$B$7:$B$26,Roster!$B10,Roster!AE$7:AE$26,"?*")&gt;Setup!$B$5,COUNTIF(Roster!AE$7:AE$26,"?*")&gt;Setup!$B$6),"CLASH","OK"))</f>
        <v/>
      </c>
      <c r="AF10" s="34" t="str">
        <f aca="false">IF(OR(Roster!$A10="",Roster!AF10=""),"",IF(OR(COUNTIFS(Roster!$B$7:$B$26,Roster!$B10,Roster!AF$7:AF$26,"?*")&gt;Setup!$B$5,COUNTIF(Roster!AF$7:AF$26,"?*")&gt;Setup!$B$6),"CLASH","OK"))</f>
        <v/>
      </c>
      <c r="AG10" s="34" t="str">
        <f aca="false">IF(OR(Roster!$A10="",Roster!AG10=""),"",IF(OR(COUNTIFS(Roster!$B$7:$B$26,Roster!$B10,Roster!AG$7:AG$26,"?*")&gt;Setup!$B$5,COUNTIF(Roster!AG$7:AG$26,"?*")&gt;Setup!$B$6),"CLASH","OK"))</f>
        <v/>
      </c>
      <c r="AH10" s="34" t="str">
        <f aca="false">IF(OR(Roster!$A10="",Roster!AH10=""),"",IF(OR(COUNTIFS(Roster!$B$7:$B$26,Roster!$B10,Roster!AH$7:AH$26,"?*")&gt;Setup!$B$5,COUNTIF(Roster!AH$7:AH$26,"?*")&gt;Setup!$B$6),"CLASH","OK"))</f>
        <v/>
      </c>
      <c r="AI10" s="34" t="str">
        <f aca="false">IF(OR(Roster!$A10="",Roster!AI10=""),"",IF(OR(COUNTIFS(Roster!$B$7:$B$26,Roster!$B10,Roster!AI$7:AI$26,"?*")&gt;Setup!$B$5,COUNTIF(Roster!AI$7:AI$26,"?*")&gt;Setup!$B$6),"CLASH","OK"))</f>
        <v/>
      </c>
      <c r="AJ10" s="34" t="str">
        <f aca="false">IF(OR(Roster!$A10="",Roster!AJ10=""),"",IF(OR(COUNTIFS(Roster!$B$7:$B$26,Roster!$B10,Roster!AJ$7:AJ$26,"?*")&gt;Setup!$B$5,COUNTIF(Roster!AJ$7:AJ$26,"?*")&gt;Setup!$B$6),"CLASH","OK"))</f>
        <v/>
      </c>
      <c r="AK10" s="34" t="str">
        <f aca="false">IF(OR(Roster!$A10="",Roster!AK10=""),"",IF(OR(COUNTIFS(Roster!$B$7:$B$26,Roster!$B10,Roster!AK$7:AK$26,"?*")&gt;Setup!$B$5,COUNTIF(Roster!AK$7:AK$26,"?*")&gt;Setup!$B$6),"CLASH","OK"))</f>
        <v/>
      </c>
      <c r="AL10" s="34" t="str">
        <f aca="false">IF(OR(Roster!$A10="",Roster!AL10=""),"",IF(OR(COUNTIFS(Roster!$B$7:$B$26,Roster!$B10,Roster!AL$7:AL$26,"?*")&gt;Setup!$B$5,COUNTIF(Roster!AL$7:AL$26,"?*")&gt;Setup!$B$6),"CLASH","OK"))</f>
        <v/>
      </c>
      <c r="AM10" s="34" t="str">
        <f aca="false">IF(OR(Roster!$A10="",Roster!AM10=""),"",IF(OR(COUNTIFS(Roster!$B$7:$B$26,Roster!$B10,Roster!AM$7:AM$26,"?*")&gt;Setup!$B$5,COUNTIF(Roster!AM$7:AM$26,"?*")&gt;Setup!$B$6),"CLASH","OK"))</f>
        <v/>
      </c>
      <c r="AN10" s="34" t="str">
        <f aca="false">IF(OR(Roster!$A10="",Roster!AN10=""),"",IF(OR(COUNTIFS(Roster!$B$7:$B$26,Roster!$B10,Roster!AN$7:AN$26,"?*")&gt;Setup!$B$5,COUNTIF(Roster!AN$7:AN$26,"?*")&gt;Setup!$B$6),"CLASH","OK"))</f>
        <v>OK</v>
      </c>
      <c r="AO10" s="34" t="str">
        <f aca="false">IF(OR(Roster!$A10="",Roster!AO10=""),"",IF(OR(COUNTIFS(Roster!$B$7:$B$26,Roster!$B10,Roster!AO$7:AO$26,"?*")&gt;Setup!$B$5,COUNTIF(Roster!AO$7:AO$26,"?*")&gt;Setup!$B$6),"CLASH","OK"))</f>
        <v>OK</v>
      </c>
      <c r="AP10" s="34" t="str">
        <f aca="false">IF(OR(Roster!$A10="",Roster!AP10=""),"",IF(OR(COUNTIFS(Roster!$B$7:$B$26,Roster!$B10,Roster!AP$7:AP$26,"?*")&gt;Setup!$B$5,COUNTIF(Roster!AP$7:AP$26,"?*")&gt;Setup!$B$6),"CLASH","OK"))</f>
        <v>OK</v>
      </c>
      <c r="AQ10" s="34" t="str">
        <f aca="false">IF(OR(Roster!$A10="",Roster!AQ10=""),"",IF(OR(COUNTIFS(Roster!$B$7:$B$26,Roster!$B10,Roster!AQ$7:AQ$26,"?*")&gt;Setup!$B$5,COUNTIF(Roster!AQ$7:AQ$26,"?*")&gt;Setup!$B$6),"CLASH","OK"))</f>
        <v>OK</v>
      </c>
      <c r="AR10" s="34" t="str">
        <f aca="false">IF(OR(Roster!$A10="",Roster!AR10=""),"",IF(OR(COUNTIFS(Roster!$B$7:$B$26,Roster!$B10,Roster!AR$7:AR$26,"?*")&gt;Setup!$B$5,COUNTIF(Roster!AR$7:AR$26,"?*")&gt;Setup!$B$6),"CLASH","OK"))</f>
        <v>OK</v>
      </c>
      <c r="AS10" s="34" t="str">
        <f aca="false">IF(OR(Roster!$A10="",Roster!AS10=""),"",IF(OR(COUNTIFS(Roster!$B$7:$B$26,Roster!$B10,Roster!AS$7:AS$26,"?*")&gt;Setup!$B$5,COUNTIF(Roster!AS$7:AS$26,"?*")&gt;Setup!$B$6),"CLASH","OK"))</f>
        <v/>
      </c>
      <c r="AT10" s="34" t="str">
        <f aca="false">IF(OR(Roster!$A10="",Roster!AT10=""),"",IF(OR(COUNTIFS(Roster!$B$7:$B$26,Roster!$B10,Roster!AT$7:AT$26,"?*")&gt;Setup!$B$5,COUNTIF(Roster!AT$7:AT$26,"?*")&gt;Setup!$B$6),"CLASH","OK"))</f>
        <v/>
      </c>
      <c r="AU10" s="34" t="str">
        <f aca="false">IF(OR(Roster!$A10="",Roster!AU10=""),"",IF(OR(COUNTIFS(Roster!$B$7:$B$26,Roster!$B10,Roster!AU$7:AU$26,"?*")&gt;Setup!$B$5,COUNTIF(Roster!AU$7:AU$26,"?*")&gt;Setup!$B$6),"CLASH","OK"))</f>
        <v/>
      </c>
      <c r="AV10" s="34" t="str">
        <f aca="false">IF(OR(Roster!$A10="",Roster!AV10=""),"",IF(OR(COUNTIFS(Roster!$B$7:$B$26,Roster!$B10,Roster!AV$7:AV$26,"?*")&gt;Setup!$B$5,COUNTIF(Roster!AV$7:AV$26,"?*")&gt;Setup!$B$6),"CLASH","OK"))</f>
        <v/>
      </c>
      <c r="AW10" s="34" t="str">
        <f aca="false">IF(OR(Roster!$A10="",Roster!AW10=""),"",IF(OR(COUNTIFS(Roster!$B$7:$B$26,Roster!$B10,Roster!AW$7:AW$26,"?*")&gt;Setup!$B$5,COUNTIF(Roster!AW$7:AW$26,"?*")&gt;Setup!$B$6),"CLASH","OK"))</f>
        <v/>
      </c>
      <c r="AX10" s="34" t="str">
        <f aca="false">IF(OR(Roster!$A10="",Roster!AX10=""),"",IF(OR(COUNTIFS(Roster!$B$7:$B$26,Roster!$B10,Roster!AX$7:AX$26,"?*")&gt;Setup!$B$5,COUNTIF(Roster!AX$7:AX$26,"?*")&gt;Setup!$B$6),"CLASH","OK"))</f>
        <v/>
      </c>
      <c r="AY10" s="34" t="str">
        <f aca="false">IF(OR(Roster!$A10="",Roster!AY10=""),"",IF(OR(COUNTIFS(Roster!$B$7:$B$26,Roster!$B10,Roster!AY$7:AY$26,"?*")&gt;Setup!$B$5,COUNTIF(Roster!AY$7:AY$26,"?*")&gt;Setup!$B$6),"CLASH","OK"))</f>
        <v/>
      </c>
      <c r="AZ10" s="34" t="str">
        <f aca="false">IF(OR(Roster!$A10="",Roster!AZ10=""),"",IF(OR(COUNTIFS(Roster!$B$7:$B$26,Roster!$B10,Roster!AZ$7:AZ$26,"?*")&gt;Setup!$B$5,COUNTIF(Roster!AZ$7:AZ$26,"?*")&gt;Setup!$B$6),"CLASH","OK"))</f>
        <v/>
      </c>
      <c r="BA10" s="34" t="str">
        <f aca="false">IF(OR(Roster!$A10="",Roster!BA10=""),"",IF(OR(COUNTIFS(Roster!$B$7:$B$26,Roster!$B10,Roster!BA$7:BA$26,"?*")&gt;Setup!$B$5,COUNTIF(Roster!BA$7:BA$26,"?*")&gt;Setup!$B$6),"CLASH","OK"))</f>
        <v/>
      </c>
      <c r="BB10" s="34" t="str">
        <f aca="false">IF(OR(Roster!$A10="",Roster!BB10=""),"",IF(OR(COUNTIFS(Roster!$B$7:$B$26,Roster!$B10,Roster!BB$7:BB$26,"?*")&gt;Setup!$B$5,COUNTIF(Roster!BB$7:BB$26,"?*")&gt;Setup!$B$6),"CLASH","OK"))</f>
        <v/>
      </c>
      <c r="BC10" s="34" t="str">
        <f aca="false">IF(OR(Roster!$A10="",Roster!BC10=""),"",IF(OR(COUNTIFS(Roster!$B$7:$B$26,Roster!$B10,Roster!BC$7:BC$26,"?*")&gt;Setup!$B$5,COUNTIF(Roster!BC$7:BC$26,"?*")&gt;Setup!$B$6),"CLASH","OK"))</f>
        <v/>
      </c>
      <c r="BD10" s="34" t="str">
        <f aca="false">IF(OR(Roster!$A10="",Roster!BD10=""),"",IF(OR(COUNTIFS(Roster!$B$7:$B$26,Roster!$B10,Roster!BD$7:BD$26,"?*")&gt;Setup!$B$5,COUNTIF(Roster!BD$7:BD$26,"?*")&gt;Setup!$B$6),"CLASH","OK"))</f>
        <v/>
      </c>
      <c r="BE10" s="34" t="str">
        <f aca="false">IF(OR(Roster!$A10="",Roster!BE10=""),"",IF(OR(COUNTIFS(Roster!$B$7:$B$26,Roster!$B10,Roster!BE$7:BE$26,"?*")&gt;Setup!$B$5,COUNTIF(Roster!BE$7:BE$26,"?*")&gt;Setup!$B$6),"CLASH","OK"))</f>
        <v/>
      </c>
      <c r="BF10" s="34" t="str">
        <f aca="false">IF(OR(Roster!$A10="",Roster!BF10=""),"",IF(OR(COUNTIFS(Roster!$B$7:$B$26,Roster!$B10,Roster!BF$7:BF$26,"?*")&gt;Setup!$B$5,COUNTIF(Roster!BF$7:BF$26,"?*")&gt;Setup!$B$6),"CLASH","OK"))</f>
        <v/>
      </c>
      <c r="BG10" s="34" t="str">
        <f aca="false">IF(OR(Roster!$A10="",Roster!BG10=""),"",IF(OR(COUNTIFS(Roster!$B$7:$B$26,Roster!$B10,Roster!BG$7:BG$26,"?*")&gt;Setup!$B$5,COUNTIF(Roster!BG$7:BG$26,"?*")&gt;Setup!$B$6),"CLASH","OK"))</f>
        <v/>
      </c>
      <c r="BH10" s="34" t="str">
        <f aca="false">IF(OR(Roster!$A10="",Roster!BH10=""),"",IF(OR(COUNTIFS(Roster!$B$7:$B$26,Roster!$B10,Roster!BH$7:BH$26,"?*")&gt;Setup!$B$5,COUNTIF(Roster!BH$7:BH$26,"?*")&gt;Setup!$B$6),"CLASH","OK"))</f>
        <v/>
      </c>
      <c r="BI10" s="34" t="str">
        <f aca="false">IF(OR(Roster!$A10="",Roster!BI10=""),"",IF(OR(COUNTIFS(Roster!$B$7:$B$26,Roster!$B10,Roster!BI$7:BI$26,"?*")&gt;Setup!$B$5,COUNTIF(Roster!BI$7:BI$26,"?*")&gt;Setup!$B$6),"CLASH","OK"))</f>
        <v/>
      </c>
      <c r="BJ10" s="34" t="str">
        <f aca="false">IF(OR(Roster!$A10="",Roster!BJ10=""),"",IF(OR(COUNTIFS(Roster!$B$7:$B$26,Roster!$B10,Roster!BJ$7:BJ$26,"?*")&gt;Setup!$B$5,COUNTIF(Roster!BJ$7:BJ$26,"?*")&gt;Setup!$B$6),"CLASH","OK"))</f>
        <v/>
      </c>
      <c r="BK10" s="34" t="str">
        <f aca="false">IF(OR(Roster!$A10="",Roster!BK10=""),"",IF(OR(COUNTIFS(Roster!$B$7:$B$26,Roster!$B10,Roster!BK$7:BK$26,"?*")&gt;Setup!$B$5,COUNTIF(Roster!BK$7:BK$26,"?*")&gt;Setup!$B$6),"CLASH","OK"))</f>
        <v/>
      </c>
      <c r="BL10" s="34" t="str">
        <f aca="false">IF(OR(Roster!$A10="",Roster!BL10=""),"",IF(OR(COUNTIFS(Roster!$B$7:$B$26,Roster!$B10,Roster!BL$7:BL$26,"?*")&gt;Setup!$B$5,COUNTIF(Roster!BL$7:BL$26,"?*")&gt;Setup!$B$6),"CLASH","OK"))</f>
        <v/>
      </c>
      <c r="BM10" s="34" t="str">
        <f aca="false">IF(OR(Roster!$A10="",Roster!BM10=""),"",IF(OR(COUNTIFS(Roster!$B$7:$B$26,Roster!$B10,Roster!BM$7:BM$26,"?*")&gt;Setup!$B$5,COUNTIF(Roster!BM$7:BM$26,"?*")&gt;Setup!$B$6),"CLASH","OK"))</f>
        <v/>
      </c>
      <c r="BN10" s="34" t="str">
        <f aca="false">IF(OR(Roster!$A10="",Roster!BN10=""),"",IF(OR(COUNTIFS(Roster!$B$7:$B$26,Roster!$B10,Roster!BN$7:BN$26,"?*")&gt;Setup!$B$5,COUNTIF(Roster!BN$7:BN$26,"?*")&gt;Setup!$B$6),"CLASH","OK"))</f>
        <v/>
      </c>
      <c r="BO10" s="34" t="str">
        <f aca="false">IF(OR(Roster!$A10="",Roster!BO10=""),"",IF(OR(COUNTIFS(Roster!$B$7:$B$26,Roster!$B10,Roster!BO$7:BO$26,"?*")&gt;Setup!$B$5,COUNTIF(Roster!BO$7:BO$26,"?*")&gt;Setup!$B$6),"CLASH","OK"))</f>
        <v/>
      </c>
      <c r="BP10" s="34" t="str">
        <f aca="false">IF(OR(Roster!$A10="",Roster!BP10=""),"",IF(OR(COUNTIFS(Roster!$B$7:$B$26,Roster!$B10,Roster!BP$7:BP$26,"?*")&gt;Setup!$B$5,COUNTIF(Roster!BP$7:BP$26,"?*")&gt;Setup!$B$6),"CLASH","OK"))</f>
        <v/>
      </c>
      <c r="BQ10" s="34" t="str">
        <f aca="false">IF(OR(Roster!$A10="",Roster!BQ10=""),"",IF(OR(COUNTIFS(Roster!$B$7:$B$26,Roster!$B10,Roster!BQ$7:BQ$26,"?*")&gt;Setup!$B$5,COUNTIF(Roster!BQ$7:BQ$26,"?*")&gt;Setup!$B$6),"CLASH","OK"))</f>
        <v/>
      </c>
      <c r="BR10" s="34" t="str">
        <f aca="false">IF(OR(Roster!$A10="",Roster!BR10=""),"",IF(OR(COUNTIFS(Roster!$B$7:$B$26,Roster!$B10,Roster!BR$7:BR$26,"?*")&gt;Setup!$B$5,COUNTIF(Roster!BR$7:BR$26,"?*")&gt;Setup!$B$6),"CLASH","OK"))</f>
        <v/>
      </c>
      <c r="BS10" s="34" t="str">
        <f aca="false">IF(OR(Roster!$A10="",Roster!BS10=""),"",IF(OR(COUNTIFS(Roster!$B$7:$B$26,Roster!$B10,Roster!BS$7:BS$26,"?*")&gt;Setup!$B$5,COUNTIF(Roster!BS$7:BS$26,"?*")&gt;Setup!$B$6),"CLASH","OK"))</f>
        <v/>
      </c>
      <c r="BT10" s="34" t="str">
        <f aca="false">IF(OR(Roster!$A10="",Roster!BT10=""),"",IF(OR(COUNTIFS(Roster!$B$7:$B$26,Roster!$B10,Roster!BT$7:BT$26,"?*")&gt;Setup!$B$5,COUNTIF(Roster!BT$7:BT$26,"?*")&gt;Setup!$B$6),"CLASH","OK"))</f>
        <v/>
      </c>
      <c r="BU10" s="34" t="str">
        <f aca="false">IF(OR(Roster!$A10="",Roster!BU10=""),"",IF(OR(COUNTIFS(Roster!$B$7:$B$26,Roster!$B10,Roster!BU$7:BU$26,"?*")&gt;Setup!$B$5,COUNTIF(Roster!BU$7:BU$26,"?*")&gt;Setup!$B$6),"CLASH","OK"))</f>
        <v/>
      </c>
      <c r="BV10" s="34" t="str">
        <f aca="false">IF(OR(Roster!$A10="",Roster!BV10=""),"",IF(OR(COUNTIFS(Roster!$B$7:$B$26,Roster!$B10,Roster!BV$7:BV$26,"?*")&gt;Setup!$B$5,COUNTIF(Roster!BV$7:BV$26,"?*")&gt;Setup!$B$6),"CLASH","OK"))</f>
        <v/>
      </c>
      <c r="BW10" s="34" t="str">
        <f aca="false">IF(OR(Roster!$A10="",Roster!BW10=""),"",IF(OR(COUNTIFS(Roster!$B$7:$B$26,Roster!$B10,Roster!BW$7:BW$26,"?*")&gt;Setup!$B$5,COUNTIF(Roster!BW$7:BW$26,"?*")&gt;Setup!$B$6),"CLASH","OK"))</f>
        <v/>
      </c>
      <c r="BX10" s="34" t="str">
        <f aca="false">IF(OR(Roster!$A10="",Roster!BX10=""),"",IF(OR(COUNTIFS(Roster!$B$7:$B$26,Roster!$B10,Roster!BX$7:BX$26,"?*")&gt;Setup!$B$5,COUNTIF(Roster!BX$7:BX$26,"?*")&gt;Setup!$B$6),"CLASH","OK"))</f>
        <v/>
      </c>
      <c r="BY10" s="34" t="str">
        <f aca="false">IF(OR(Roster!$A10="",Roster!BY10=""),"",IF(OR(COUNTIFS(Roster!$B$7:$B$26,Roster!$B10,Roster!BY$7:BY$26,"?*")&gt;Setup!$B$5,COUNTIF(Roster!BY$7:BY$26,"?*")&gt;Setup!$B$6),"CLASH","OK"))</f>
        <v/>
      </c>
      <c r="BZ10" s="34" t="str">
        <f aca="false">IF(OR(Roster!$A10="",Roster!BZ10=""),"",IF(OR(COUNTIFS(Roster!$B$7:$B$26,Roster!$B10,Roster!BZ$7:BZ$26,"?*")&gt;Setup!$B$5,COUNTIF(Roster!BZ$7:BZ$26,"?*")&gt;Setup!$B$6),"CLASH","OK"))</f>
        <v/>
      </c>
      <c r="CA10" s="34" t="str">
        <f aca="false">IF(OR(Roster!$A10="",Roster!CA10=""),"",IF(OR(COUNTIFS(Roster!$B$7:$B$26,Roster!$B10,Roster!CA$7:CA$26,"?*")&gt;Setup!$B$5,COUNTIF(Roster!CA$7:CA$26,"?*")&gt;Setup!$B$6),"CLASH","OK"))</f>
        <v/>
      </c>
      <c r="CB10" s="34" t="str">
        <f aca="false">IF(OR(Roster!$A10="",Roster!CB10=""),"",IF(OR(COUNTIFS(Roster!$B$7:$B$26,Roster!$B10,Roster!CB$7:CB$26,"?*")&gt;Setup!$B$5,COUNTIF(Roster!CB$7:CB$26,"?*")&gt;Setup!$B$6),"CLASH","OK"))</f>
        <v/>
      </c>
      <c r="CC10" s="34" t="str">
        <f aca="false">IF(OR(Roster!$A10="",Roster!CC10=""),"",IF(OR(COUNTIFS(Roster!$B$7:$B$26,Roster!$B10,Roster!CC$7:CC$26,"?*")&gt;Setup!$B$5,COUNTIF(Roster!CC$7:CC$26,"?*")&gt;Setup!$B$6),"CLASH","OK"))</f>
        <v/>
      </c>
      <c r="CD10" s="34" t="str">
        <f aca="false">IF(OR(Roster!$A10="",Roster!CD10=""),"",IF(OR(COUNTIFS(Roster!$B$7:$B$26,Roster!$B10,Roster!CD$7:CD$26,"?*")&gt;Setup!$B$5,COUNTIF(Roster!CD$7:CD$26,"?*")&gt;Setup!$B$6),"CLASH","OK"))</f>
        <v/>
      </c>
      <c r="CE10" s="34" t="str">
        <f aca="false">IF(OR(Roster!$A10="",Roster!CE10=""),"",IF(OR(COUNTIFS(Roster!$B$7:$B$26,Roster!$B10,Roster!CE$7:CE$26,"?*")&gt;Setup!$B$5,COUNTIF(Roster!CE$7:CE$26,"?*")&gt;Setup!$B$6),"CLASH","OK"))</f>
        <v/>
      </c>
      <c r="CF10" s="34" t="str">
        <f aca="false">IF(OR(Roster!$A10="",Roster!CF10=""),"",IF(OR(COUNTIFS(Roster!$B$7:$B$26,Roster!$B10,Roster!CF$7:CF$26,"?*")&gt;Setup!$B$5,COUNTIF(Roster!CF$7:CF$26,"?*")&gt;Setup!$B$6),"CLASH","OK"))</f>
        <v/>
      </c>
      <c r="CG10" s="34" t="str">
        <f aca="false">IF(OR(Roster!$A10="",Roster!CG10=""),"",IF(OR(COUNTIFS(Roster!$B$7:$B$26,Roster!$B10,Roster!CG$7:CG$26,"?*")&gt;Setup!$B$5,COUNTIF(Roster!CG$7:CG$26,"?*")&gt;Setup!$B$6),"CLASH","OK"))</f>
        <v/>
      </c>
      <c r="CH10" s="34" t="str">
        <f aca="false">IF(OR(Roster!$A10="",Roster!CH10=""),"",IF(OR(COUNTIFS(Roster!$B$7:$B$26,Roster!$B10,Roster!CH$7:CH$26,"?*")&gt;Setup!$B$5,COUNTIF(Roster!CH$7:CH$26,"?*")&gt;Setup!$B$6),"CLASH","OK"))</f>
        <v/>
      </c>
      <c r="CI10" s="34" t="str">
        <f aca="false">IF(OR(Roster!$A10="",Roster!CI10=""),"",IF(OR(COUNTIFS(Roster!$B$7:$B$26,Roster!$B10,Roster!CI$7:CI$26,"?*")&gt;Setup!$B$5,COUNTIF(Roster!CI$7:CI$26,"?*")&gt;Setup!$B$6),"CLASH","OK"))</f>
        <v/>
      </c>
      <c r="CJ10" s="34" t="str">
        <f aca="false">IF(OR(Roster!$A10="",Roster!CJ10=""),"",IF(OR(COUNTIFS(Roster!$B$7:$B$26,Roster!$B10,Roster!CJ$7:CJ$26,"?*")&gt;Setup!$B$5,COUNTIF(Roster!CJ$7:CJ$26,"?*")&gt;Setup!$B$6),"CLASH","OK"))</f>
        <v/>
      </c>
      <c r="CK10" s="34" t="str">
        <f aca="false">IF(OR(Roster!$A10="",Roster!CK10=""),"",IF(OR(COUNTIFS(Roster!$B$7:$B$26,Roster!$B10,Roster!CK$7:CK$26,"?*")&gt;Setup!$B$5,COUNTIF(Roster!CK$7:CK$26,"?*")&gt;Setup!$B$6),"CLASH","OK"))</f>
        <v/>
      </c>
      <c r="CL10" s="34" t="str">
        <f aca="false">IF(OR(Roster!$A10="",Roster!CL10=""),"",IF(OR(COUNTIFS(Roster!$B$7:$B$26,Roster!$B10,Roster!CL$7:CL$26,"?*")&gt;Setup!$B$5,COUNTIF(Roster!CL$7:CL$26,"?*")&gt;Setup!$B$6),"CLASH","OK"))</f>
        <v/>
      </c>
      <c r="CM10" s="34" t="str">
        <f aca="false">IF(OR(Roster!$A10="",Roster!CM10=""),"",IF(OR(COUNTIFS(Roster!$B$7:$B$26,Roster!$B10,Roster!CM$7:CM$26,"?*")&gt;Setup!$B$5,COUNTIF(Roster!CM$7:CM$26,"?*")&gt;Setup!$B$6),"CLASH","OK"))</f>
        <v/>
      </c>
      <c r="CN10" s="34" t="str">
        <f aca="false">IF(OR(Roster!$A10="",Roster!CN10=""),"",IF(OR(COUNTIFS(Roster!$B$7:$B$26,Roster!$B10,Roster!CN$7:CN$26,"?*")&gt;Setup!$B$5,COUNTIF(Roster!CN$7:CN$26,"?*")&gt;Setup!$B$6),"CLASH","OK"))</f>
        <v/>
      </c>
      <c r="CO10" s="34" t="str">
        <f aca="false">IF(OR(Roster!$A10="",Roster!CO10=""),"",IF(OR(COUNTIFS(Roster!$B$7:$B$26,Roster!$B10,Roster!CO$7:CO$26,"?*")&gt;Setup!$B$5,COUNTIF(Roster!CO$7:CO$26,"?*")&gt;Setup!$B$6),"CLASH","OK"))</f>
        <v/>
      </c>
      <c r="CP10" s="34" t="str">
        <f aca="false">IF(OR(Roster!$A10="",Roster!CP10=""),"",IF(OR(COUNTIFS(Roster!$B$7:$B$26,Roster!$B10,Roster!CP$7:CP$26,"?*")&gt;Setup!$B$5,COUNTIF(Roster!CP$7:CP$26,"?*")&gt;Setup!$B$6),"CLASH","OK"))</f>
        <v/>
      </c>
      <c r="CQ10" s="34" t="str">
        <f aca="false">IF(OR(Roster!$A10="",Roster!CQ10=""),"",IF(OR(COUNTIFS(Roster!$B$7:$B$26,Roster!$B10,Roster!CQ$7:CQ$26,"?*")&gt;Setup!$B$5,COUNTIF(Roster!CQ$7:CQ$26,"?*")&gt;Setup!$B$6),"CLASH","OK"))</f>
        <v/>
      </c>
      <c r="CR10" s="34" t="str">
        <f aca="false">IF(OR(Roster!$A10="",Roster!CR10=""),"",IF(OR(COUNTIFS(Roster!$B$7:$B$26,Roster!$B10,Roster!CR$7:CR$26,"?*")&gt;Setup!$B$5,COUNTIF(Roster!CR$7:CR$26,"?*")&gt;Setup!$B$6),"CLASH","OK"))</f>
        <v/>
      </c>
      <c r="CS10" s="34" t="str">
        <f aca="false">IF(OR(Roster!$A10="",Roster!CS10=""),"",IF(OR(COUNTIFS(Roster!$B$7:$B$26,Roster!$B10,Roster!CS$7:CS$26,"?*")&gt;Setup!$B$5,COUNTIF(Roster!CS$7:CS$26,"?*")&gt;Setup!$B$6),"CLASH","OK"))</f>
        <v/>
      </c>
      <c r="CT10" s="34" t="str">
        <f aca="false">IF(OR(Roster!$A10="",Roster!CT10=""),"",IF(OR(COUNTIFS(Roster!$B$7:$B$26,Roster!$B10,Roster!CT$7:CT$26,"?*")&gt;Setup!$B$5,COUNTIF(Roster!CT$7:CT$26,"?*")&gt;Setup!$B$6),"CLASH","OK"))</f>
        <v/>
      </c>
      <c r="CU10" s="34" t="str">
        <f aca="false">IF(OR(Roster!$A10="",Roster!CU10=""),"",IF(OR(COUNTIFS(Roster!$B$7:$B$26,Roster!$B10,Roster!CU$7:CU$26,"?*")&gt;Setup!$B$5,COUNTIF(Roster!CU$7:CU$26,"?*")&gt;Setup!$B$6),"CLASH","OK"))</f>
        <v/>
      </c>
    </row>
    <row r="11" customFormat="false" ht="15" hidden="false" customHeight="false" outlineLevel="0" collapsed="false">
      <c r="A11" s="33" t="str">
        <f aca="false">IF(Roster!A11="","",Roster!A11)</f>
        <v>Esther Mensah</v>
      </c>
      <c r="B11" s="33" t="str">
        <f aca="false">IF(Roster!A11="","",Roster!B11)</f>
        <v>HR</v>
      </c>
      <c r="H11" s="34" t="str">
        <f aca="false">IF(OR(Roster!$A11="",Roster!H11=""),"",IF(OR(COUNTIFS(Roster!$B$7:$B$26,Roster!$B11,Roster!H$7:H$26,"?*")&gt;Setup!$B$5,COUNTIF(Roster!H$7:H$26,"?*")&gt;Setup!$B$6),"CLASH","OK"))</f>
        <v/>
      </c>
      <c r="I11" s="34" t="str">
        <f aca="false">IF(OR(Roster!$A11="",Roster!I11=""),"",IF(OR(COUNTIFS(Roster!$B$7:$B$26,Roster!$B11,Roster!I$7:I$26,"?*")&gt;Setup!$B$5,COUNTIF(Roster!I$7:I$26,"?*")&gt;Setup!$B$6),"CLASH","OK"))</f>
        <v/>
      </c>
      <c r="J11" s="34" t="str">
        <f aca="false">IF(OR(Roster!$A11="",Roster!J11=""),"",IF(OR(COUNTIFS(Roster!$B$7:$B$26,Roster!$B11,Roster!J$7:J$26,"?*")&gt;Setup!$B$5,COUNTIF(Roster!J$7:J$26,"?*")&gt;Setup!$B$6),"CLASH","OK"))</f>
        <v/>
      </c>
      <c r="K11" s="34" t="str">
        <f aca="false">IF(OR(Roster!$A11="",Roster!K11=""),"",IF(OR(COUNTIFS(Roster!$B$7:$B$26,Roster!$B11,Roster!K$7:K$26,"?*")&gt;Setup!$B$5,COUNTIF(Roster!K$7:K$26,"?*")&gt;Setup!$B$6),"CLASH","OK"))</f>
        <v/>
      </c>
      <c r="L11" s="34" t="str">
        <f aca="false">IF(OR(Roster!$A11="",Roster!L11=""),"",IF(OR(COUNTIFS(Roster!$B$7:$B$26,Roster!$B11,Roster!L$7:L$26,"?*")&gt;Setup!$B$5,COUNTIF(Roster!L$7:L$26,"?*")&gt;Setup!$B$6),"CLASH","OK"))</f>
        <v/>
      </c>
      <c r="M11" s="34" t="str">
        <f aca="false">IF(OR(Roster!$A11="",Roster!M11=""),"",IF(OR(COUNTIFS(Roster!$B$7:$B$26,Roster!$B11,Roster!M$7:M$26,"?*")&gt;Setup!$B$5,COUNTIF(Roster!M$7:M$26,"?*")&gt;Setup!$B$6),"CLASH","OK"))</f>
        <v/>
      </c>
      <c r="N11" s="34" t="str">
        <f aca="false">IF(OR(Roster!$A11="",Roster!N11=""),"",IF(OR(COUNTIFS(Roster!$B$7:$B$26,Roster!$B11,Roster!N$7:N$26,"?*")&gt;Setup!$B$5,COUNTIF(Roster!N$7:N$26,"?*")&gt;Setup!$B$6),"CLASH","OK"))</f>
        <v/>
      </c>
      <c r="O11" s="34" t="str">
        <f aca="false">IF(OR(Roster!$A11="",Roster!O11=""),"",IF(OR(COUNTIFS(Roster!$B$7:$B$26,Roster!$B11,Roster!O$7:O$26,"?*")&gt;Setup!$B$5,COUNTIF(Roster!O$7:O$26,"?*")&gt;Setup!$B$6),"CLASH","OK"))</f>
        <v/>
      </c>
      <c r="P11" s="34" t="str">
        <f aca="false">IF(OR(Roster!$A11="",Roster!P11=""),"",IF(OR(COUNTIFS(Roster!$B$7:$B$26,Roster!$B11,Roster!P$7:P$26,"?*")&gt;Setup!$B$5,COUNTIF(Roster!P$7:P$26,"?*")&gt;Setup!$B$6),"CLASH","OK"))</f>
        <v/>
      </c>
      <c r="Q11" s="34" t="str">
        <f aca="false">IF(OR(Roster!$A11="",Roster!Q11=""),"",IF(OR(COUNTIFS(Roster!$B$7:$B$26,Roster!$B11,Roster!Q$7:Q$26,"?*")&gt;Setup!$B$5,COUNTIF(Roster!Q$7:Q$26,"?*")&gt;Setup!$B$6),"CLASH","OK"))</f>
        <v/>
      </c>
      <c r="R11" s="34" t="str">
        <f aca="false">IF(OR(Roster!$A11="",Roster!R11=""),"",IF(OR(COUNTIFS(Roster!$B$7:$B$26,Roster!$B11,Roster!R$7:R$26,"?*")&gt;Setup!$B$5,COUNTIF(Roster!R$7:R$26,"?*")&gt;Setup!$B$6),"CLASH","OK"))</f>
        <v/>
      </c>
      <c r="S11" s="34" t="str">
        <f aca="false">IF(OR(Roster!$A11="",Roster!S11=""),"",IF(OR(COUNTIFS(Roster!$B$7:$B$26,Roster!$B11,Roster!S$7:S$26,"?*")&gt;Setup!$B$5,COUNTIF(Roster!S$7:S$26,"?*")&gt;Setup!$B$6),"CLASH","OK"))</f>
        <v>OK</v>
      </c>
      <c r="T11" s="34" t="str">
        <f aca="false">IF(OR(Roster!$A11="",Roster!T11=""),"",IF(OR(COUNTIFS(Roster!$B$7:$B$26,Roster!$B11,Roster!T$7:T$26,"?*")&gt;Setup!$B$5,COUNTIF(Roster!T$7:T$26,"?*")&gt;Setup!$B$6),"CLASH","OK"))</f>
        <v>OK</v>
      </c>
      <c r="U11" s="34" t="str">
        <f aca="false">IF(OR(Roster!$A11="",Roster!U11=""),"",IF(OR(COUNTIFS(Roster!$B$7:$B$26,Roster!$B11,Roster!U$7:U$26,"?*")&gt;Setup!$B$5,COUNTIF(Roster!U$7:U$26,"?*")&gt;Setup!$B$6),"CLASH","OK"))</f>
        <v/>
      </c>
      <c r="V11" s="34" t="str">
        <f aca="false">IF(OR(Roster!$A11="",Roster!V11=""),"",IF(OR(COUNTIFS(Roster!$B$7:$B$26,Roster!$B11,Roster!V$7:V$26,"?*")&gt;Setup!$B$5,COUNTIF(Roster!V$7:V$26,"?*")&gt;Setup!$B$6),"CLASH","OK"))</f>
        <v/>
      </c>
      <c r="W11" s="34" t="str">
        <f aca="false">IF(OR(Roster!$A11="",Roster!W11=""),"",IF(OR(COUNTIFS(Roster!$B$7:$B$26,Roster!$B11,Roster!W$7:W$26,"?*")&gt;Setup!$B$5,COUNTIF(Roster!W$7:W$26,"?*")&gt;Setup!$B$6),"CLASH","OK"))</f>
        <v/>
      </c>
      <c r="X11" s="34" t="str">
        <f aca="false">IF(OR(Roster!$A11="",Roster!X11=""),"",IF(OR(COUNTIFS(Roster!$B$7:$B$26,Roster!$B11,Roster!X$7:X$26,"?*")&gt;Setup!$B$5,COUNTIF(Roster!X$7:X$26,"?*")&gt;Setup!$B$6),"CLASH","OK"))</f>
        <v/>
      </c>
      <c r="Y11" s="34" t="str">
        <f aca="false">IF(OR(Roster!$A11="",Roster!Y11=""),"",IF(OR(COUNTIFS(Roster!$B$7:$B$26,Roster!$B11,Roster!Y$7:Y$26,"?*")&gt;Setup!$B$5,COUNTIF(Roster!Y$7:Y$26,"?*")&gt;Setup!$B$6),"CLASH","OK"))</f>
        <v/>
      </c>
      <c r="Z11" s="34" t="str">
        <f aca="false">IF(OR(Roster!$A11="",Roster!Z11=""),"",IF(OR(COUNTIFS(Roster!$B$7:$B$26,Roster!$B11,Roster!Z$7:Z$26,"?*")&gt;Setup!$B$5,COUNTIF(Roster!Z$7:Z$26,"?*")&gt;Setup!$B$6),"CLASH","OK"))</f>
        <v/>
      </c>
      <c r="AA11" s="34" t="str">
        <f aca="false">IF(OR(Roster!$A11="",Roster!AA11=""),"",IF(OR(COUNTIFS(Roster!$B$7:$B$26,Roster!$B11,Roster!AA$7:AA$26,"?*")&gt;Setup!$B$5,COUNTIF(Roster!AA$7:AA$26,"?*")&gt;Setup!$B$6),"CLASH","OK"))</f>
        <v/>
      </c>
      <c r="AB11" s="34" t="str">
        <f aca="false">IF(OR(Roster!$A11="",Roster!AB11=""),"",IF(OR(COUNTIFS(Roster!$B$7:$B$26,Roster!$B11,Roster!AB$7:AB$26,"?*")&gt;Setup!$B$5,COUNTIF(Roster!AB$7:AB$26,"?*")&gt;Setup!$B$6),"CLASH","OK"))</f>
        <v/>
      </c>
      <c r="AC11" s="34" t="str">
        <f aca="false">IF(OR(Roster!$A11="",Roster!AC11=""),"",IF(OR(COUNTIFS(Roster!$B$7:$B$26,Roster!$B11,Roster!AC$7:AC$26,"?*")&gt;Setup!$B$5,COUNTIF(Roster!AC$7:AC$26,"?*")&gt;Setup!$B$6),"CLASH","OK"))</f>
        <v/>
      </c>
      <c r="AD11" s="34" t="str">
        <f aca="false">IF(OR(Roster!$A11="",Roster!AD11=""),"",IF(OR(COUNTIFS(Roster!$B$7:$B$26,Roster!$B11,Roster!AD$7:AD$26,"?*")&gt;Setup!$B$5,COUNTIF(Roster!AD$7:AD$26,"?*")&gt;Setup!$B$6),"CLASH","OK"))</f>
        <v/>
      </c>
      <c r="AE11" s="34" t="str">
        <f aca="false">IF(OR(Roster!$A11="",Roster!AE11=""),"",IF(OR(COUNTIFS(Roster!$B$7:$B$26,Roster!$B11,Roster!AE$7:AE$26,"?*")&gt;Setup!$B$5,COUNTIF(Roster!AE$7:AE$26,"?*")&gt;Setup!$B$6),"CLASH","OK"))</f>
        <v/>
      </c>
      <c r="AF11" s="34" t="str">
        <f aca="false">IF(OR(Roster!$A11="",Roster!AF11=""),"",IF(OR(COUNTIFS(Roster!$B$7:$B$26,Roster!$B11,Roster!AF$7:AF$26,"?*")&gt;Setup!$B$5,COUNTIF(Roster!AF$7:AF$26,"?*")&gt;Setup!$B$6),"CLASH","OK"))</f>
        <v/>
      </c>
      <c r="AG11" s="34" t="str">
        <f aca="false">IF(OR(Roster!$A11="",Roster!AG11=""),"",IF(OR(COUNTIFS(Roster!$B$7:$B$26,Roster!$B11,Roster!AG$7:AG$26,"?*")&gt;Setup!$B$5,COUNTIF(Roster!AG$7:AG$26,"?*")&gt;Setup!$B$6),"CLASH","OK"))</f>
        <v/>
      </c>
      <c r="AH11" s="34" t="str">
        <f aca="false">IF(OR(Roster!$A11="",Roster!AH11=""),"",IF(OR(COUNTIFS(Roster!$B$7:$B$26,Roster!$B11,Roster!AH$7:AH$26,"?*")&gt;Setup!$B$5,COUNTIF(Roster!AH$7:AH$26,"?*")&gt;Setup!$B$6),"CLASH","OK"))</f>
        <v/>
      </c>
      <c r="AI11" s="34" t="str">
        <f aca="false">IF(OR(Roster!$A11="",Roster!AI11=""),"",IF(OR(COUNTIFS(Roster!$B$7:$B$26,Roster!$B11,Roster!AI$7:AI$26,"?*")&gt;Setup!$B$5,COUNTIF(Roster!AI$7:AI$26,"?*")&gt;Setup!$B$6),"CLASH","OK"))</f>
        <v/>
      </c>
      <c r="AJ11" s="34" t="str">
        <f aca="false">IF(OR(Roster!$A11="",Roster!AJ11=""),"",IF(OR(COUNTIFS(Roster!$B$7:$B$26,Roster!$B11,Roster!AJ$7:AJ$26,"?*")&gt;Setup!$B$5,COUNTIF(Roster!AJ$7:AJ$26,"?*")&gt;Setup!$B$6),"CLASH","OK"))</f>
        <v/>
      </c>
      <c r="AK11" s="34" t="str">
        <f aca="false">IF(OR(Roster!$A11="",Roster!AK11=""),"",IF(OR(COUNTIFS(Roster!$B$7:$B$26,Roster!$B11,Roster!AK$7:AK$26,"?*")&gt;Setup!$B$5,COUNTIF(Roster!AK$7:AK$26,"?*")&gt;Setup!$B$6),"CLASH","OK"))</f>
        <v/>
      </c>
      <c r="AL11" s="34" t="str">
        <f aca="false">IF(OR(Roster!$A11="",Roster!AL11=""),"",IF(OR(COUNTIFS(Roster!$B$7:$B$26,Roster!$B11,Roster!AL$7:AL$26,"?*")&gt;Setup!$B$5,COUNTIF(Roster!AL$7:AL$26,"?*")&gt;Setup!$B$6),"CLASH","OK"))</f>
        <v/>
      </c>
      <c r="AM11" s="34" t="str">
        <f aca="false">IF(OR(Roster!$A11="",Roster!AM11=""),"",IF(OR(COUNTIFS(Roster!$B$7:$B$26,Roster!$B11,Roster!AM$7:AM$26,"?*")&gt;Setup!$B$5,COUNTIF(Roster!AM$7:AM$26,"?*")&gt;Setup!$B$6),"CLASH","OK"))</f>
        <v/>
      </c>
      <c r="AN11" s="34" t="str">
        <f aca="false">IF(OR(Roster!$A11="",Roster!AN11=""),"",IF(OR(COUNTIFS(Roster!$B$7:$B$26,Roster!$B11,Roster!AN$7:AN$26,"?*")&gt;Setup!$B$5,COUNTIF(Roster!AN$7:AN$26,"?*")&gt;Setup!$B$6),"CLASH","OK"))</f>
        <v/>
      </c>
      <c r="AO11" s="34" t="str">
        <f aca="false">IF(OR(Roster!$A11="",Roster!AO11=""),"",IF(OR(COUNTIFS(Roster!$B$7:$B$26,Roster!$B11,Roster!AO$7:AO$26,"?*")&gt;Setup!$B$5,COUNTIF(Roster!AO$7:AO$26,"?*")&gt;Setup!$B$6),"CLASH","OK"))</f>
        <v/>
      </c>
      <c r="AP11" s="34" t="str">
        <f aca="false">IF(OR(Roster!$A11="",Roster!AP11=""),"",IF(OR(COUNTIFS(Roster!$B$7:$B$26,Roster!$B11,Roster!AP$7:AP$26,"?*")&gt;Setup!$B$5,COUNTIF(Roster!AP$7:AP$26,"?*")&gt;Setup!$B$6),"CLASH","OK"))</f>
        <v/>
      </c>
      <c r="AQ11" s="34" t="str">
        <f aca="false">IF(OR(Roster!$A11="",Roster!AQ11=""),"",IF(OR(COUNTIFS(Roster!$B$7:$B$26,Roster!$B11,Roster!AQ$7:AQ$26,"?*")&gt;Setup!$B$5,COUNTIF(Roster!AQ$7:AQ$26,"?*")&gt;Setup!$B$6),"CLASH","OK"))</f>
        <v/>
      </c>
      <c r="AR11" s="34" t="str">
        <f aca="false">IF(OR(Roster!$A11="",Roster!AR11=""),"",IF(OR(COUNTIFS(Roster!$B$7:$B$26,Roster!$B11,Roster!AR$7:AR$26,"?*")&gt;Setup!$B$5,COUNTIF(Roster!AR$7:AR$26,"?*")&gt;Setup!$B$6),"CLASH","OK"))</f>
        <v/>
      </c>
      <c r="AS11" s="34" t="str">
        <f aca="false">IF(OR(Roster!$A11="",Roster!AS11=""),"",IF(OR(COUNTIFS(Roster!$B$7:$B$26,Roster!$B11,Roster!AS$7:AS$26,"?*")&gt;Setup!$B$5,COUNTIF(Roster!AS$7:AS$26,"?*")&gt;Setup!$B$6),"CLASH","OK"))</f>
        <v/>
      </c>
      <c r="AT11" s="34" t="str">
        <f aca="false">IF(OR(Roster!$A11="",Roster!AT11=""),"",IF(OR(COUNTIFS(Roster!$B$7:$B$26,Roster!$B11,Roster!AT$7:AT$26,"?*")&gt;Setup!$B$5,COUNTIF(Roster!AT$7:AT$26,"?*")&gt;Setup!$B$6),"CLASH","OK"))</f>
        <v/>
      </c>
      <c r="AU11" s="34" t="str">
        <f aca="false">IF(OR(Roster!$A11="",Roster!AU11=""),"",IF(OR(COUNTIFS(Roster!$B$7:$B$26,Roster!$B11,Roster!AU$7:AU$26,"?*")&gt;Setup!$B$5,COUNTIF(Roster!AU$7:AU$26,"?*")&gt;Setup!$B$6),"CLASH","OK"))</f>
        <v/>
      </c>
      <c r="AV11" s="34" t="str">
        <f aca="false">IF(OR(Roster!$A11="",Roster!AV11=""),"",IF(OR(COUNTIFS(Roster!$B$7:$B$26,Roster!$B11,Roster!AV$7:AV$26,"?*")&gt;Setup!$B$5,COUNTIF(Roster!AV$7:AV$26,"?*")&gt;Setup!$B$6),"CLASH","OK"))</f>
        <v/>
      </c>
      <c r="AW11" s="34" t="str">
        <f aca="false">IF(OR(Roster!$A11="",Roster!AW11=""),"",IF(OR(COUNTIFS(Roster!$B$7:$B$26,Roster!$B11,Roster!AW$7:AW$26,"?*")&gt;Setup!$B$5,COUNTIF(Roster!AW$7:AW$26,"?*")&gt;Setup!$B$6),"CLASH","OK"))</f>
        <v/>
      </c>
      <c r="AX11" s="34" t="str">
        <f aca="false">IF(OR(Roster!$A11="",Roster!AX11=""),"",IF(OR(COUNTIFS(Roster!$B$7:$B$26,Roster!$B11,Roster!AX$7:AX$26,"?*")&gt;Setup!$B$5,COUNTIF(Roster!AX$7:AX$26,"?*")&gt;Setup!$B$6),"CLASH","OK"))</f>
        <v/>
      </c>
      <c r="AY11" s="34" t="str">
        <f aca="false">IF(OR(Roster!$A11="",Roster!AY11=""),"",IF(OR(COUNTIFS(Roster!$B$7:$B$26,Roster!$B11,Roster!AY$7:AY$26,"?*")&gt;Setup!$B$5,COUNTIF(Roster!AY$7:AY$26,"?*")&gt;Setup!$B$6),"CLASH","OK"))</f>
        <v/>
      </c>
      <c r="AZ11" s="34" t="str">
        <f aca="false">IF(OR(Roster!$A11="",Roster!AZ11=""),"",IF(OR(COUNTIFS(Roster!$B$7:$B$26,Roster!$B11,Roster!AZ$7:AZ$26,"?*")&gt;Setup!$B$5,COUNTIF(Roster!AZ$7:AZ$26,"?*")&gt;Setup!$B$6),"CLASH","OK"))</f>
        <v/>
      </c>
      <c r="BA11" s="34" t="str">
        <f aca="false">IF(OR(Roster!$A11="",Roster!BA11=""),"",IF(OR(COUNTIFS(Roster!$B$7:$B$26,Roster!$B11,Roster!BA$7:BA$26,"?*")&gt;Setup!$B$5,COUNTIF(Roster!BA$7:BA$26,"?*")&gt;Setup!$B$6),"CLASH","OK"))</f>
        <v/>
      </c>
      <c r="BB11" s="34" t="str">
        <f aca="false">IF(OR(Roster!$A11="",Roster!BB11=""),"",IF(OR(COUNTIFS(Roster!$B$7:$B$26,Roster!$B11,Roster!BB$7:BB$26,"?*")&gt;Setup!$B$5,COUNTIF(Roster!BB$7:BB$26,"?*")&gt;Setup!$B$6),"CLASH","OK"))</f>
        <v/>
      </c>
      <c r="BC11" s="34" t="str">
        <f aca="false">IF(OR(Roster!$A11="",Roster!BC11=""),"",IF(OR(COUNTIFS(Roster!$B$7:$B$26,Roster!$B11,Roster!BC$7:BC$26,"?*")&gt;Setup!$B$5,COUNTIF(Roster!BC$7:BC$26,"?*")&gt;Setup!$B$6),"CLASH","OK"))</f>
        <v/>
      </c>
      <c r="BD11" s="34" t="str">
        <f aca="false">IF(OR(Roster!$A11="",Roster!BD11=""),"",IF(OR(COUNTIFS(Roster!$B$7:$B$26,Roster!$B11,Roster!BD$7:BD$26,"?*")&gt;Setup!$B$5,COUNTIF(Roster!BD$7:BD$26,"?*")&gt;Setup!$B$6),"CLASH","OK"))</f>
        <v/>
      </c>
      <c r="BE11" s="34" t="str">
        <f aca="false">IF(OR(Roster!$A11="",Roster!BE11=""),"",IF(OR(COUNTIFS(Roster!$B$7:$B$26,Roster!$B11,Roster!BE$7:BE$26,"?*")&gt;Setup!$B$5,COUNTIF(Roster!BE$7:BE$26,"?*")&gt;Setup!$B$6),"CLASH","OK"))</f>
        <v/>
      </c>
      <c r="BF11" s="34" t="str">
        <f aca="false">IF(OR(Roster!$A11="",Roster!BF11=""),"",IF(OR(COUNTIFS(Roster!$B$7:$B$26,Roster!$B11,Roster!BF$7:BF$26,"?*")&gt;Setup!$B$5,COUNTIF(Roster!BF$7:BF$26,"?*")&gt;Setup!$B$6),"CLASH","OK"))</f>
        <v/>
      </c>
      <c r="BG11" s="34" t="str">
        <f aca="false">IF(OR(Roster!$A11="",Roster!BG11=""),"",IF(OR(COUNTIFS(Roster!$B$7:$B$26,Roster!$B11,Roster!BG$7:BG$26,"?*")&gt;Setup!$B$5,COUNTIF(Roster!BG$7:BG$26,"?*")&gt;Setup!$B$6),"CLASH","OK"))</f>
        <v/>
      </c>
      <c r="BH11" s="34" t="str">
        <f aca="false">IF(OR(Roster!$A11="",Roster!BH11=""),"",IF(OR(COUNTIFS(Roster!$B$7:$B$26,Roster!$B11,Roster!BH$7:BH$26,"?*")&gt;Setup!$B$5,COUNTIF(Roster!BH$7:BH$26,"?*")&gt;Setup!$B$6),"CLASH","OK"))</f>
        <v/>
      </c>
      <c r="BI11" s="34" t="str">
        <f aca="false">IF(OR(Roster!$A11="",Roster!BI11=""),"",IF(OR(COUNTIFS(Roster!$B$7:$B$26,Roster!$B11,Roster!BI$7:BI$26,"?*")&gt;Setup!$B$5,COUNTIF(Roster!BI$7:BI$26,"?*")&gt;Setup!$B$6),"CLASH","OK"))</f>
        <v/>
      </c>
      <c r="BJ11" s="34" t="str">
        <f aca="false">IF(OR(Roster!$A11="",Roster!BJ11=""),"",IF(OR(COUNTIFS(Roster!$B$7:$B$26,Roster!$B11,Roster!BJ$7:BJ$26,"?*")&gt;Setup!$B$5,COUNTIF(Roster!BJ$7:BJ$26,"?*")&gt;Setup!$B$6),"CLASH","OK"))</f>
        <v/>
      </c>
      <c r="BK11" s="34" t="str">
        <f aca="false">IF(OR(Roster!$A11="",Roster!BK11=""),"",IF(OR(COUNTIFS(Roster!$B$7:$B$26,Roster!$B11,Roster!BK$7:BK$26,"?*")&gt;Setup!$B$5,COUNTIF(Roster!BK$7:BK$26,"?*")&gt;Setup!$B$6),"CLASH","OK"))</f>
        <v/>
      </c>
      <c r="BL11" s="34" t="str">
        <f aca="false">IF(OR(Roster!$A11="",Roster!BL11=""),"",IF(OR(COUNTIFS(Roster!$B$7:$B$26,Roster!$B11,Roster!BL$7:BL$26,"?*")&gt;Setup!$B$5,COUNTIF(Roster!BL$7:BL$26,"?*")&gt;Setup!$B$6),"CLASH","OK"))</f>
        <v/>
      </c>
      <c r="BM11" s="34" t="str">
        <f aca="false">IF(OR(Roster!$A11="",Roster!BM11=""),"",IF(OR(COUNTIFS(Roster!$B$7:$B$26,Roster!$B11,Roster!BM$7:BM$26,"?*")&gt;Setup!$B$5,COUNTIF(Roster!BM$7:BM$26,"?*")&gt;Setup!$B$6),"CLASH","OK"))</f>
        <v/>
      </c>
      <c r="BN11" s="34" t="str">
        <f aca="false">IF(OR(Roster!$A11="",Roster!BN11=""),"",IF(OR(COUNTIFS(Roster!$B$7:$B$26,Roster!$B11,Roster!BN$7:BN$26,"?*")&gt;Setup!$B$5,COUNTIF(Roster!BN$7:BN$26,"?*")&gt;Setup!$B$6),"CLASH","OK"))</f>
        <v/>
      </c>
      <c r="BO11" s="34" t="str">
        <f aca="false">IF(OR(Roster!$A11="",Roster!BO11=""),"",IF(OR(COUNTIFS(Roster!$B$7:$B$26,Roster!$B11,Roster!BO$7:BO$26,"?*")&gt;Setup!$B$5,COUNTIF(Roster!BO$7:BO$26,"?*")&gt;Setup!$B$6),"CLASH","OK"))</f>
        <v/>
      </c>
      <c r="BP11" s="34" t="str">
        <f aca="false">IF(OR(Roster!$A11="",Roster!BP11=""),"",IF(OR(COUNTIFS(Roster!$B$7:$B$26,Roster!$B11,Roster!BP$7:BP$26,"?*")&gt;Setup!$B$5,COUNTIF(Roster!BP$7:BP$26,"?*")&gt;Setup!$B$6),"CLASH","OK"))</f>
        <v/>
      </c>
      <c r="BQ11" s="34" t="str">
        <f aca="false">IF(OR(Roster!$A11="",Roster!BQ11=""),"",IF(OR(COUNTIFS(Roster!$B$7:$B$26,Roster!$B11,Roster!BQ$7:BQ$26,"?*")&gt;Setup!$B$5,COUNTIF(Roster!BQ$7:BQ$26,"?*")&gt;Setup!$B$6),"CLASH","OK"))</f>
        <v/>
      </c>
      <c r="BR11" s="34" t="str">
        <f aca="false">IF(OR(Roster!$A11="",Roster!BR11=""),"",IF(OR(COUNTIFS(Roster!$B$7:$B$26,Roster!$B11,Roster!BR$7:BR$26,"?*")&gt;Setup!$B$5,COUNTIF(Roster!BR$7:BR$26,"?*")&gt;Setup!$B$6),"CLASH","OK"))</f>
        <v/>
      </c>
      <c r="BS11" s="34" t="str">
        <f aca="false">IF(OR(Roster!$A11="",Roster!BS11=""),"",IF(OR(COUNTIFS(Roster!$B$7:$B$26,Roster!$B11,Roster!BS$7:BS$26,"?*")&gt;Setup!$B$5,COUNTIF(Roster!BS$7:BS$26,"?*")&gt;Setup!$B$6),"CLASH","OK"))</f>
        <v/>
      </c>
      <c r="BT11" s="34" t="str">
        <f aca="false">IF(OR(Roster!$A11="",Roster!BT11=""),"",IF(OR(COUNTIFS(Roster!$B$7:$B$26,Roster!$B11,Roster!BT$7:BT$26,"?*")&gt;Setup!$B$5,COUNTIF(Roster!BT$7:BT$26,"?*")&gt;Setup!$B$6),"CLASH","OK"))</f>
        <v/>
      </c>
      <c r="BU11" s="34" t="str">
        <f aca="false">IF(OR(Roster!$A11="",Roster!BU11=""),"",IF(OR(COUNTIFS(Roster!$B$7:$B$26,Roster!$B11,Roster!BU$7:BU$26,"?*")&gt;Setup!$B$5,COUNTIF(Roster!BU$7:BU$26,"?*")&gt;Setup!$B$6),"CLASH","OK"))</f>
        <v/>
      </c>
      <c r="BV11" s="34" t="str">
        <f aca="false">IF(OR(Roster!$A11="",Roster!BV11=""),"",IF(OR(COUNTIFS(Roster!$B$7:$B$26,Roster!$B11,Roster!BV$7:BV$26,"?*")&gt;Setup!$B$5,COUNTIF(Roster!BV$7:BV$26,"?*")&gt;Setup!$B$6),"CLASH","OK"))</f>
        <v/>
      </c>
      <c r="BW11" s="34" t="str">
        <f aca="false">IF(OR(Roster!$A11="",Roster!BW11=""),"",IF(OR(COUNTIFS(Roster!$B$7:$B$26,Roster!$B11,Roster!BW$7:BW$26,"?*")&gt;Setup!$B$5,COUNTIF(Roster!BW$7:BW$26,"?*")&gt;Setup!$B$6),"CLASH","OK"))</f>
        <v/>
      </c>
      <c r="BX11" s="34" t="str">
        <f aca="false">IF(OR(Roster!$A11="",Roster!BX11=""),"",IF(OR(COUNTIFS(Roster!$B$7:$B$26,Roster!$B11,Roster!BX$7:BX$26,"?*")&gt;Setup!$B$5,COUNTIF(Roster!BX$7:BX$26,"?*")&gt;Setup!$B$6),"CLASH","OK"))</f>
        <v/>
      </c>
      <c r="BY11" s="34" t="str">
        <f aca="false">IF(OR(Roster!$A11="",Roster!BY11=""),"",IF(OR(COUNTIFS(Roster!$B$7:$B$26,Roster!$B11,Roster!BY$7:BY$26,"?*")&gt;Setup!$B$5,COUNTIF(Roster!BY$7:BY$26,"?*")&gt;Setup!$B$6),"CLASH","OK"))</f>
        <v/>
      </c>
      <c r="BZ11" s="34" t="str">
        <f aca="false">IF(OR(Roster!$A11="",Roster!BZ11=""),"",IF(OR(COUNTIFS(Roster!$B$7:$B$26,Roster!$B11,Roster!BZ$7:BZ$26,"?*")&gt;Setup!$B$5,COUNTIF(Roster!BZ$7:BZ$26,"?*")&gt;Setup!$B$6),"CLASH","OK"))</f>
        <v/>
      </c>
      <c r="CA11" s="34" t="str">
        <f aca="false">IF(OR(Roster!$A11="",Roster!CA11=""),"",IF(OR(COUNTIFS(Roster!$B$7:$B$26,Roster!$B11,Roster!CA$7:CA$26,"?*")&gt;Setup!$B$5,COUNTIF(Roster!CA$7:CA$26,"?*")&gt;Setup!$B$6),"CLASH","OK"))</f>
        <v/>
      </c>
      <c r="CB11" s="34" t="str">
        <f aca="false">IF(OR(Roster!$A11="",Roster!CB11=""),"",IF(OR(COUNTIFS(Roster!$B$7:$B$26,Roster!$B11,Roster!CB$7:CB$26,"?*")&gt;Setup!$B$5,COUNTIF(Roster!CB$7:CB$26,"?*")&gt;Setup!$B$6),"CLASH","OK"))</f>
        <v/>
      </c>
      <c r="CC11" s="34" t="str">
        <f aca="false">IF(OR(Roster!$A11="",Roster!CC11=""),"",IF(OR(COUNTIFS(Roster!$B$7:$B$26,Roster!$B11,Roster!CC$7:CC$26,"?*")&gt;Setup!$B$5,COUNTIF(Roster!CC$7:CC$26,"?*")&gt;Setup!$B$6),"CLASH","OK"))</f>
        <v/>
      </c>
      <c r="CD11" s="34" t="str">
        <f aca="false">IF(OR(Roster!$A11="",Roster!CD11=""),"",IF(OR(COUNTIFS(Roster!$B$7:$B$26,Roster!$B11,Roster!CD$7:CD$26,"?*")&gt;Setup!$B$5,COUNTIF(Roster!CD$7:CD$26,"?*")&gt;Setup!$B$6),"CLASH","OK"))</f>
        <v/>
      </c>
      <c r="CE11" s="34" t="str">
        <f aca="false">IF(OR(Roster!$A11="",Roster!CE11=""),"",IF(OR(COUNTIFS(Roster!$B$7:$B$26,Roster!$B11,Roster!CE$7:CE$26,"?*")&gt;Setup!$B$5,COUNTIF(Roster!CE$7:CE$26,"?*")&gt;Setup!$B$6),"CLASH","OK"))</f>
        <v/>
      </c>
      <c r="CF11" s="34" t="str">
        <f aca="false">IF(OR(Roster!$A11="",Roster!CF11=""),"",IF(OR(COUNTIFS(Roster!$B$7:$B$26,Roster!$B11,Roster!CF$7:CF$26,"?*")&gt;Setup!$B$5,COUNTIF(Roster!CF$7:CF$26,"?*")&gt;Setup!$B$6),"CLASH","OK"))</f>
        <v/>
      </c>
      <c r="CG11" s="34" t="str">
        <f aca="false">IF(OR(Roster!$A11="",Roster!CG11=""),"",IF(OR(COUNTIFS(Roster!$B$7:$B$26,Roster!$B11,Roster!CG$7:CG$26,"?*")&gt;Setup!$B$5,COUNTIF(Roster!CG$7:CG$26,"?*")&gt;Setup!$B$6),"CLASH","OK"))</f>
        <v/>
      </c>
      <c r="CH11" s="34" t="str">
        <f aca="false">IF(OR(Roster!$A11="",Roster!CH11=""),"",IF(OR(COUNTIFS(Roster!$B$7:$B$26,Roster!$B11,Roster!CH$7:CH$26,"?*")&gt;Setup!$B$5,COUNTIF(Roster!CH$7:CH$26,"?*")&gt;Setup!$B$6),"CLASH","OK"))</f>
        <v/>
      </c>
      <c r="CI11" s="34" t="str">
        <f aca="false">IF(OR(Roster!$A11="",Roster!CI11=""),"",IF(OR(COUNTIFS(Roster!$B$7:$B$26,Roster!$B11,Roster!CI$7:CI$26,"?*")&gt;Setup!$B$5,COUNTIF(Roster!CI$7:CI$26,"?*")&gt;Setup!$B$6),"CLASH","OK"))</f>
        <v/>
      </c>
      <c r="CJ11" s="34" t="str">
        <f aca="false">IF(OR(Roster!$A11="",Roster!CJ11=""),"",IF(OR(COUNTIFS(Roster!$B$7:$B$26,Roster!$B11,Roster!CJ$7:CJ$26,"?*")&gt;Setup!$B$5,COUNTIF(Roster!CJ$7:CJ$26,"?*")&gt;Setup!$B$6),"CLASH","OK"))</f>
        <v/>
      </c>
      <c r="CK11" s="34" t="str">
        <f aca="false">IF(OR(Roster!$A11="",Roster!CK11=""),"",IF(OR(COUNTIFS(Roster!$B$7:$B$26,Roster!$B11,Roster!CK$7:CK$26,"?*")&gt;Setup!$B$5,COUNTIF(Roster!CK$7:CK$26,"?*")&gt;Setup!$B$6),"CLASH","OK"))</f>
        <v/>
      </c>
      <c r="CL11" s="34" t="str">
        <f aca="false">IF(OR(Roster!$A11="",Roster!CL11=""),"",IF(OR(COUNTIFS(Roster!$B$7:$B$26,Roster!$B11,Roster!CL$7:CL$26,"?*")&gt;Setup!$B$5,COUNTIF(Roster!CL$7:CL$26,"?*")&gt;Setup!$B$6),"CLASH","OK"))</f>
        <v/>
      </c>
      <c r="CM11" s="34" t="str">
        <f aca="false">IF(OR(Roster!$A11="",Roster!CM11=""),"",IF(OR(COUNTIFS(Roster!$B$7:$B$26,Roster!$B11,Roster!CM$7:CM$26,"?*")&gt;Setup!$B$5,COUNTIF(Roster!CM$7:CM$26,"?*")&gt;Setup!$B$6),"CLASH","OK"))</f>
        <v/>
      </c>
      <c r="CN11" s="34" t="str">
        <f aca="false">IF(OR(Roster!$A11="",Roster!CN11=""),"",IF(OR(COUNTIFS(Roster!$B$7:$B$26,Roster!$B11,Roster!CN$7:CN$26,"?*")&gt;Setup!$B$5,COUNTIF(Roster!CN$7:CN$26,"?*")&gt;Setup!$B$6),"CLASH","OK"))</f>
        <v/>
      </c>
      <c r="CO11" s="34" t="str">
        <f aca="false">IF(OR(Roster!$A11="",Roster!CO11=""),"",IF(OR(COUNTIFS(Roster!$B$7:$B$26,Roster!$B11,Roster!CO$7:CO$26,"?*")&gt;Setup!$B$5,COUNTIF(Roster!CO$7:CO$26,"?*")&gt;Setup!$B$6),"CLASH","OK"))</f>
        <v/>
      </c>
      <c r="CP11" s="34" t="str">
        <f aca="false">IF(OR(Roster!$A11="",Roster!CP11=""),"",IF(OR(COUNTIFS(Roster!$B$7:$B$26,Roster!$B11,Roster!CP$7:CP$26,"?*")&gt;Setup!$B$5,COUNTIF(Roster!CP$7:CP$26,"?*")&gt;Setup!$B$6),"CLASH","OK"))</f>
        <v/>
      </c>
      <c r="CQ11" s="34" t="str">
        <f aca="false">IF(OR(Roster!$A11="",Roster!CQ11=""),"",IF(OR(COUNTIFS(Roster!$B$7:$B$26,Roster!$B11,Roster!CQ$7:CQ$26,"?*")&gt;Setup!$B$5,COUNTIF(Roster!CQ$7:CQ$26,"?*")&gt;Setup!$B$6),"CLASH","OK"))</f>
        <v/>
      </c>
      <c r="CR11" s="34" t="str">
        <f aca="false">IF(OR(Roster!$A11="",Roster!CR11=""),"",IF(OR(COUNTIFS(Roster!$B$7:$B$26,Roster!$B11,Roster!CR$7:CR$26,"?*")&gt;Setup!$B$5,COUNTIF(Roster!CR$7:CR$26,"?*")&gt;Setup!$B$6),"CLASH","OK"))</f>
        <v/>
      </c>
      <c r="CS11" s="34" t="str">
        <f aca="false">IF(OR(Roster!$A11="",Roster!CS11=""),"",IF(OR(COUNTIFS(Roster!$B$7:$B$26,Roster!$B11,Roster!CS$7:CS$26,"?*")&gt;Setup!$B$5,COUNTIF(Roster!CS$7:CS$26,"?*")&gt;Setup!$B$6),"CLASH","OK"))</f>
        <v/>
      </c>
      <c r="CT11" s="34" t="str">
        <f aca="false">IF(OR(Roster!$A11="",Roster!CT11=""),"",IF(OR(COUNTIFS(Roster!$B$7:$B$26,Roster!$B11,Roster!CT$7:CT$26,"?*")&gt;Setup!$B$5,COUNTIF(Roster!CT$7:CT$26,"?*")&gt;Setup!$B$6),"CLASH","OK"))</f>
        <v/>
      </c>
      <c r="CU11" s="34" t="str">
        <f aca="false">IF(OR(Roster!$A11="",Roster!CU11=""),"",IF(OR(COUNTIFS(Roster!$B$7:$B$26,Roster!$B11,Roster!CU$7:CU$26,"?*")&gt;Setup!$B$5,COUNTIF(Roster!CU$7:CU$26,"?*")&gt;Setup!$B$6),"CLASH","OK"))</f>
        <v/>
      </c>
    </row>
    <row r="12" customFormat="false" ht="15" hidden="false" customHeight="false" outlineLevel="0" collapsed="false">
      <c r="A12" s="33" t="str">
        <f aca="false">IF(Roster!A12="","",Roster!A12)</f>
        <v>Farid Khan</v>
      </c>
      <c r="B12" s="33" t="str">
        <f aca="false">IF(Roster!A12="","",Roster!B12)</f>
        <v>IT</v>
      </c>
      <c r="H12" s="34" t="str">
        <f aca="false">IF(OR(Roster!$A12="",Roster!H12=""),"",IF(OR(COUNTIFS(Roster!$B$7:$B$26,Roster!$B12,Roster!H$7:H$26,"?*")&gt;Setup!$B$5,COUNTIF(Roster!H$7:H$26,"?*")&gt;Setup!$B$6),"CLASH","OK"))</f>
        <v/>
      </c>
      <c r="I12" s="34" t="str">
        <f aca="false">IF(OR(Roster!$A12="",Roster!I12=""),"",IF(OR(COUNTIFS(Roster!$B$7:$B$26,Roster!$B12,Roster!I$7:I$26,"?*")&gt;Setup!$B$5,COUNTIF(Roster!I$7:I$26,"?*")&gt;Setup!$B$6),"CLASH","OK"))</f>
        <v/>
      </c>
      <c r="J12" s="34" t="str">
        <f aca="false">IF(OR(Roster!$A12="",Roster!J12=""),"",IF(OR(COUNTIFS(Roster!$B$7:$B$26,Roster!$B12,Roster!J$7:J$26,"?*")&gt;Setup!$B$5,COUNTIF(Roster!J$7:J$26,"?*")&gt;Setup!$B$6),"CLASH","OK"))</f>
        <v/>
      </c>
      <c r="K12" s="34" t="str">
        <f aca="false">IF(OR(Roster!$A12="",Roster!K12=""),"",IF(OR(COUNTIFS(Roster!$B$7:$B$26,Roster!$B12,Roster!K$7:K$26,"?*")&gt;Setup!$B$5,COUNTIF(Roster!K$7:K$26,"?*")&gt;Setup!$B$6),"CLASH","OK"))</f>
        <v/>
      </c>
      <c r="L12" s="34" t="str">
        <f aca="false">IF(OR(Roster!$A12="",Roster!L12=""),"",IF(OR(COUNTIFS(Roster!$B$7:$B$26,Roster!$B12,Roster!L$7:L$26,"?*")&gt;Setup!$B$5,COUNTIF(Roster!L$7:L$26,"?*")&gt;Setup!$B$6),"CLASH","OK"))</f>
        <v/>
      </c>
      <c r="M12" s="34" t="str">
        <f aca="false">IF(OR(Roster!$A12="",Roster!M12=""),"",IF(OR(COUNTIFS(Roster!$B$7:$B$26,Roster!$B12,Roster!M$7:M$26,"?*")&gt;Setup!$B$5,COUNTIF(Roster!M$7:M$26,"?*")&gt;Setup!$B$6),"CLASH","OK"))</f>
        <v/>
      </c>
      <c r="N12" s="34" t="str">
        <f aca="false">IF(OR(Roster!$A12="",Roster!N12=""),"",IF(OR(COUNTIFS(Roster!$B$7:$B$26,Roster!$B12,Roster!N$7:N$26,"?*")&gt;Setup!$B$5,COUNTIF(Roster!N$7:N$26,"?*")&gt;Setup!$B$6),"CLASH","OK"))</f>
        <v/>
      </c>
      <c r="O12" s="34" t="str">
        <f aca="false">IF(OR(Roster!$A12="",Roster!O12=""),"",IF(OR(COUNTIFS(Roster!$B$7:$B$26,Roster!$B12,Roster!O$7:O$26,"?*")&gt;Setup!$B$5,COUNTIF(Roster!O$7:O$26,"?*")&gt;Setup!$B$6),"CLASH","OK"))</f>
        <v/>
      </c>
      <c r="P12" s="34" t="str">
        <f aca="false">IF(OR(Roster!$A12="",Roster!P12=""),"",IF(OR(COUNTIFS(Roster!$B$7:$B$26,Roster!$B12,Roster!P$7:P$26,"?*")&gt;Setup!$B$5,COUNTIF(Roster!P$7:P$26,"?*")&gt;Setup!$B$6),"CLASH","OK"))</f>
        <v/>
      </c>
      <c r="Q12" s="34" t="str">
        <f aca="false">IF(OR(Roster!$A12="",Roster!Q12=""),"",IF(OR(COUNTIFS(Roster!$B$7:$B$26,Roster!$B12,Roster!Q$7:Q$26,"?*")&gt;Setup!$B$5,COUNTIF(Roster!Q$7:Q$26,"?*")&gt;Setup!$B$6),"CLASH","OK"))</f>
        <v/>
      </c>
      <c r="R12" s="34" t="str">
        <f aca="false">IF(OR(Roster!$A12="",Roster!R12=""),"",IF(OR(COUNTIFS(Roster!$B$7:$B$26,Roster!$B12,Roster!R$7:R$26,"?*")&gt;Setup!$B$5,COUNTIF(Roster!R$7:R$26,"?*")&gt;Setup!$B$6),"CLASH","OK"))</f>
        <v/>
      </c>
      <c r="S12" s="34" t="str">
        <f aca="false">IF(OR(Roster!$A12="",Roster!S12=""),"",IF(OR(COUNTIFS(Roster!$B$7:$B$26,Roster!$B12,Roster!S$7:S$26,"?*")&gt;Setup!$B$5,COUNTIF(Roster!S$7:S$26,"?*")&gt;Setup!$B$6),"CLASH","OK"))</f>
        <v/>
      </c>
      <c r="T12" s="34" t="str">
        <f aca="false">IF(OR(Roster!$A12="",Roster!T12=""),"",IF(OR(COUNTIFS(Roster!$B$7:$B$26,Roster!$B12,Roster!T$7:T$26,"?*")&gt;Setup!$B$5,COUNTIF(Roster!T$7:T$26,"?*")&gt;Setup!$B$6),"CLASH","OK"))</f>
        <v/>
      </c>
      <c r="U12" s="34" t="str">
        <f aca="false">IF(OR(Roster!$A12="",Roster!U12=""),"",IF(OR(COUNTIFS(Roster!$B$7:$B$26,Roster!$B12,Roster!U$7:U$26,"?*")&gt;Setup!$B$5,COUNTIF(Roster!U$7:U$26,"?*")&gt;Setup!$B$6),"CLASH","OK"))</f>
        <v/>
      </c>
      <c r="V12" s="34" t="str">
        <f aca="false">IF(OR(Roster!$A12="",Roster!V12=""),"",IF(OR(COUNTIFS(Roster!$B$7:$B$26,Roster!$B12,Roster!V$7:V$26,"?*")&gt;Setup!$B$5,COUNTIF(Roster!V$7:V$26,"?*")&gt;Setup!$B$6),"CLASH","OK"))</f>
        <v/>
      </c>
      <c r="W12" s="34" t="str">
        <f aca="false">IF(OR(Roster!$A12="",Roster!W12=""),"",IF(OR(COUNTIFS(Roster!$B$7:$B$26,Roster!$B12,Roster!W$7:W$26,"?*")&gt;Setup!$B$5,COUNTIF(Roster!W$7:W$26,"?*")&gt;Setup!$B$6),"CLASH","OK"))</f>
        <v/>
      </c>
      <c r="X12" s="34" t="str">
        <f aca="false">IF(OR(Roster!$A12="",Roster!X12=""),"",IF(OR(COUNTIFS(Roster!$B$7:$B$26,Roster!$B12,Roster!X$7:X$26,"?*")&gt;Setup!$B$5,COUNTIF(Roster!X$7:X$26,"?*")&gt;Setup!$B$6),"CLASH","OK"))</f>
        <v/>
      </c>
      <c r="Y12" s="34" t="str">
        <f aca="false">IF(OR(Roster!$A12="",Roster!Y12=""),"",IF(OR(COUNTIFS(Roster!$B$7:$B$26,Roster!$B12,Roster!Y$7:Y$26,"?*")&gt;Setup!$B$5,COUNTIF(Roster!Y$7:Y$26,"?*")&gt;Setup!$B$6),"CLASH","OK"))</f>
        <v/>
      </c>
      <c r="Z12" s="34" t="str">
        <f aca="false">IF(OR(Roster!$A12="",Roster!Z12=""),"",IF(OR(COUNTIFS(Roster!$B$7:$B$26,Roster!$B12,Roster!Z$7:Z$26,"?*")&gt;Setup!$B$5,COUNTIF(Roster!Z$7:Z$26,"?*")&gt;Setup!$B$6),"CLASH","OK"))</f>
        <v/>
      </c>
      <c r="AA12" s="34" t="str">
        <f aca="false">IF(OR(Roster!$A12="",Roster!AA12=""),"",IF(OR(COUNTIFS(Roster!$B$7:$B$26,Roster!$B12,Roster!AA$7:AA$26,"?*")&gt;Setup!$B$5,COUNTIF(Roster!AA$7:AA$26,"?*")&gt;Setup!$B$6),"CLASH","OK"))</f>
        <v/>
      </c>
      <c r="AB12" s="34" t="str">
        <f aca="false">IF(OR(Roster!$A12="",Roster!AB12=""),"",IF(OR(COUNTIFS(Roster!$B$7:$B$26,Roster!$B12,Roster!AB$7:AB$26,"?*")&gt;Setup!$B$5,COUNTIF(Roster!AB$7:AB$26,"?*")&gt;Setup!$B$6),"CLASH","OK"))</f>
        <v/>
      </c>
      <c r="AC12" s="34" t="str">
        <f aca="false">IF(OR(Roster!$A12="",Roster!AC12=""),"",IF(OR(COUNTIFS(Roster!$B$7:$B$26,Roster!$B12,Roster!AC$7:AC$26,"?*")&gt;Setup!$B$5,COUNTIF(Roster!AC$7:AC$26,"?*")&gt;Setup!$B$6),"CLASH","OK"))</f>
        <v/>
      </c>
      <c r="AD12" s="34" t="str">
        <f aca="false">IF(OR(Roster!$A12="",Roster!AD12=""),"",IF(OR(COUNTIFS(Roster!$B$7:$B$26,Roster!$B12,Roster!AD$7:AD$26,"?*")&gt;Setup!$B$5,COUNTIF(Roster!AD$7:AD$26,"?*")&gt;Setup!$B$6),"CLASH","OK"))</f>
        <v/>
      </c>
      <c r="AE12" s="34" t="str">
        <f aca="false">IF(OR(Roster!$A12="",Roster!AE12=""),"",IF(OR(COUNTIFS(Roster!$B$7:$B$26,Roster!$B12,Roster!AE$7:AE$26,"?*")&gt;Setup!$B$5,COUNTIF(Roster!AE$7:AE$26,"?*")&gt;Setup!$B$6),"CLASH","OK"))</f>
        <v/>
      </c>
      <c r="AF12" s="34" t="str">
        <f aca="false">IF(OR(Roster!$A12="",Roster!AF12=""),"",IF(OR(COUNTIFS(Roster!$B$7:$B$26,Roster!$B12,Roster!AF$7:AF$26,"?*")&gt;Setup!$B$5,COUNTIF(Roster!AF$7:AF$26,"?*")&gt;Setup!$B$6),"CLASH","OK"))</f>
        <v/>
      </c>
      <c r="AG12" s="34" t="str">
        <f aca="false">IF(OR(Roster!$A12="",Roster!AG12=""),"",IF(OR(COUNTIFS(Roster!$B$7:$B$26,Roster!$B12,Roster!AG$7:AG$26,"?*")&gt;Setup!$B$5,COUNTIF(Roster!AG$7:AG$26,"?*")&gt;Setup!$B$6),"CLASH","OK"))</f>
        <v/>
      </c>
      <c r="AH12" s="34" t="str">
        <f aca="false">IF(OR(Roster!$A12="",Roster!AH12=""),"",IF(OR(COUNTIFS(Roster!$B$7:$B$26,Roster!$B12,Roster!AH$7:AH$26,"?*")&gt;Setup!$B$5,COUNTIF(Roster!AH$7:AH$26,"?*")&gt;Setup!$B$6),"CLASH","OK"))</f>
        <v/>
      </c>
      <c r="AI12" s="34" t="str">
        <f aca="false">IF(OR(Roster!$A12="",Roster!AI12=""),"",IF(OR(COUNTIFS(Roster!$B$7:$B$26,Roster!$B12,Roster!AI$7:AI$26,"?*")&gt;Setup!$B$5,COUNTIF(Roster!AI$7:AI$26,"?*")&gt;Setup!$B$6),"CLASH","OK"))</f>
        <v/>
      </c>
      <c r="AJ12" s="34" t="str">
        <f aca="false">IF(OR(Roster!$A12="",Roster!AJ12=""),"",IF(OR(COUNTIFS(Roster!$B$7:$B$26,Roster!$B12,Roster!AJ$7:AJ$26,"?*")&gt;Setup!$B$5,COUNTIF(Roster!AJ$7:AJ$26,"?*")&gt;Setup!$B$6),"CLASH","OK"))</f>
        <v/>
      </c>
      <c r="AK12" s="34" t="str">
        <f aca="false">IF(OR(Roster!$A12="",Roster!AK12=""),"",IF(OR(COUNTIFS(Roster!$B$7:$B$26,Roster!$B12,Roster!AK$7:AK$26,"?*")&gt;Setup!$B$5,COUNTIF(Roster!AK$7:AK$26,"?*")&gt;Setup!$B$6),"CLASH","OK"))</f>
        <v/>
      </c>
      <c r="AL12" s="34" t="str">
        <f aca="false">IF(OR(Roster!$A12="",Roster!AL12=""),"",IF(OR(COUNTIFS(Roster!$B$7:$B$26,Roster!$B12,Roster!AL$7:AL$26,"?*")&gt;Setup!$B$5,COUNTIF(Roster!AL$7:AL$26,"?*")&gt;Setup!$B$6),"CLASH","OK"))</f>
        <v/>
      </c>
      <c r="AM12" s="34" t="str">
        <f aca="false">IF(OR(Roster!$A12="",Roster!AM12=""),"",IF(OR(COUNTIFS(Roster!$B$7:$B$26,Roster!$B12,Roster!AM$7:AM$26,"?*")&gt;Setup!$B$5,COUNTIF(Roster!AM$7:AM$26,"?*")&gt;Setup!$B$6),"CLASH","OK"))</f>
        <v/>
      </c>
      <c r="AN12" s="34" t="str">
        <f aca="false">IF(OR(Roster!$A12="",Roster!AN12=""),"",IF(OR(COUNTIFS(Roster!$B$7:$B$26,Roster!$B12,Roster!AN$7:AN$26,"?*")&gt;Setup!$B$5,COUNTIF(Roster!AN$7:AN$26,"?*")&gt;Setup!$B$6),"CLASH","OK"))</f>
        <v/>
      </c>
      <c r="AO12" s="34" t="str">
        <f aca="false">IF(OR(Roster!$A12="",Roster!AO12=""),"",IF(OR(COUNTIFS(Roster!$B$7:$B$26,Roster!$B12,Roster!AO$7:AO$26,"?*")&gt;Setup!$B$5,COUNTIF(Roster!AO$7:AO$26,"?*")&gt;Setup!$B$6),"CLASH","OK"))</f>
        <v/>
      </c>
      <c r="AP12" s="34" t="str">
        <f aca="false">IF(OR(Roster!$A12="",Roster!AP12=""),"",IF(OR(COUNTIFS(Roster!$B$7:$B$26,Roster!$B12,Roster!AP$7:AP$26,"?*")&gt;Setup!$B$5,COUNTIF(Roster!AP$7:AP$26,"?*")&gt;Setup!$B$6),"CLASH","OK"))</f>
        <v/>
      </c>
      <c r="AQ12" s="34" t="str">
        <f aca="false">IF(OR(Roster!$A12="",Roster!AQ12=""),"",IF(OR(COUNTIFS(Roster!$B$7:$B$26,Roster!$B12,Roster!AQ$7:AQ$26,"?*")&gt;Setup!$B$5,COUNTIF(Roster!AQ$7:AQ$26,"?*")&gt;Setup!$B$6),"CLASH","OK"))</f>
        <v/>
      </c>
      <c r="AR12" s="34" t="str">
        <f aca="false">IF(OR(Roster!$A12="",Roster!AR12=""),"",IF(OR(COUNTIFS(Roster!$B$7:$B$26,Roster!$B12,Roster!AR$7:AR$26,"?*")&gt;Setup!$B$5,COUNTIF(Roster!AR$7:AR$26,"?*")&gt;Setup!$B$6),"CLASH","OK"))</f>
        <v/>
      </c>
      <c r="AS12" s="34" t="str">
        <f aca="false">IF(OR(Roster!$A12="",Roster!AS12=""),"",IF(OR(COUNTIFS(Roster!$B$7:$B$26,Roster!$B12,Roster!AS$7:AS$26,"?*")&gt;Setup!$B$5,COUNTIF(Roster!AS$7:AS$26,"?*")&gt;Setup!$B$6),"CLASH","OK"))</f>
        <v/>
      </c>
      <c r="AT12" s="34" t="str">
        <f aca="false">IF(OR(Roster!$A12="",Roster!AT12=""),"",IF(OR(COUNTIFS(Roster!$B$7:$B$26,Roster!$B12,Roster!AT$7:AT$26,"?*")&gt;Setup!$B$5,COUNTIF(Roster!AT$7:AT$26,"?*")&gt;Setup!$B$6),"CLASH","OK"))</f>
        <v/>
      </c>
      <c r="AU12" s="34" t="str">
        <f aca="false">IF(OR(Roster!$A12="",Roster!AU12=""),"",IF(OR(COUNTIFS(Roster!$B$7:$B$26,Roster!$B12,Roster!AU$7:AU$26,"?*")&gt;Setup!$B$5,COUNTIF(Roster!AU$7:AU$26,"?*")&gt;Setup!$B$6),"CLASH","OK"))</f>
        <v/>
      </c>
      <c r="AV12" s="34" t="str">
        <f aca="false">IF(OR(Roster!$A12="",Roster!AV12=""),"",IF(OR(COUNTIFS(Roster!$B$7:$B$26,Roster!$B12,Roster!AV$7:AV$26,"?*")&gt;Setup!$B$5,COUNTIF(Roster!AV$7:AV$26,"?*")&gt;Setup!$B$6),"CLASH","OK"))</f>
        <v/>
      </c>
      <c r="AW12" s="34" t="str">
        <f aca="false">IF(OR(Roster!$A12="",Roster!AW12=""),"",IF(OR(COUNTIFS(Roster!$B$7:$B$26,Roster!$B12,Roster!AW$7:AW$26,"?*")&gt;Setup!$B$5,COUNTIF(Roster!AW$7:AW$26,"?*")&gt;Setup!$B$6),"CLASH","OK"))</f>
        <v/>
      </c>
      <c r="AX12" s="34" t="str">
        <f aca="false">IF(OR(Roster!$A12="",Roster!AX12=""),"",IF(OR(COUNTIFS(Roster!$B$7:$B$26,Roster!$B12,Roster!AX$7:AX$26,"?*")&gt;Setup!$B$5,COUNTIF(Roster!AX$7:AX$26,"?*")&gt;Setup!$B$6),"CLASH","OK"))</f>
        <v/>
      </c>
      <c r="AY12" s="34" t="str">
        <f aca="false">IF(OR(Roster!$A12="",Roster!AY12=""),"",IF(OR(COUNTIFS(Roster!$B$7:$B$26,Roster!$B12,Roster!AY$7:AY$26,"?*")&gt;Setup!$B$5,COUNTIF(Roster!AY$7:AY$26,"?*")&gt;Setup!$B$6),"CLASH","OK"))</f>
        <v/>
      </c>
      <c r="AZ12" s="34" t="str">
        <f aca="false">IF(OR(Roster!$A12="",Roster!AZ12=""),"",IF(OR(COUNTIFS(Roster!$B$7:$B$26,Roster!$B12,Roster!AZ$7:AZ$26,"?*")&gt;Setup!$B$5,COUNTIF(Roster!AZ$7:AZ$26,"?*")&gt;Setup!$B$6),"CLASH","OK"))</f>
        <v/>
      </c>
      <c r="BA12" s="34" t="str">
        <f aca="false">IF(OR(Roster!$A12="",Roster!BA12=""),"",IF(OR(COUNTIFS(Roster!$B$7:$B$26,Roster!$B12,Roster!BA$7:BA$26,"?*")&gt;Setup!$B$5,COUNTIF(Roster!BA$7:BA$26,"?*")&gt;Setup!$B$6),"CLASH","OK"))</f>
        <v/>
      </c>
      <c r="BB12" s="34" t="str">
        <f aca="false">IF(OR(Roster!$A12="",Roster!BB12=""),"",IF(OR(COUNTIFS(Roster!$B$7:$B$26,Roster!$B12,Roster!BB$7:BB$26,"?*")&gt;Setup!$B$5,COUNTIF(Roster!BB$7:BB$26,"?*")&gt;Setup!$B$6),"CLASH","OK"))</f>
        <v/>
      </c>
      <c r="BC12" s="34" t="str">
        <f aca="false">IF(OR(Roster!$A12="",Roster!BC12=""),"",IF(OR(COUNTIFS(Roster!$B$7:$B$26,Roster!$B12,Roster!BC$7:BC$26,"?*")&gt;Setup!$B$5,COUNTIF(Roster!BC$7:BC$26,"?*")&gt;Setup!$B$6),"CLASH","OK"))</f>
        <v/>
      </c>
      <c r="BD12" s="34" t="str">
        <f aca="false">IF(OR(Roster!$A12="",Roster!BD12=""),"",IF(OR(COUNTIFS(Roster!$B$7:$B$26,Roster!$B12,Roster!BD$7:BD$26,"?*")&gt;Setup!$B$5,COUNTIF(Roster!BD$7:BD$26,"?*")&gt;Setup!$B$6),"CLASH","OK"))</f>
        <v/>
      </c>
      <c r="BE12" s="34" t="str">
        <f aca="false">IF(OR(Roster!$A12="",Roster!BE12=""),"",IF(OR(COUNTIFS(Roster!$B$7:$B$26,Roster!$B12,Roster!BE$7:BE$26,"?*")&gt;Setup!$B$5,COUNTIF(Roster!BE$7:BE$26,"?*")&gt;Setup!$B$6),"CLASH","OK"))</f>
        <v/>
      </c>
      <c r="BF12" s="34" t="str">
        <f aca="false">IF(OR(Roster!$A12="",Roster!BF12=""),"",IF(OR(COUNTIFS(Roster!$B$7:$B$26,Roster!$B12,Roster!BF$7:BF$26,"?*")&gt;Setup!$B$5,COUNTIF(Roster!BF$7:BF$26,"?*")&gt;Setup!$B$6),"CLASH","OK"))</f>
        <v/>
      </c>
      <c r="BG12" s="34" t="str">
        <f aca="false">IF(OR(Roster!$A12="",Roster!BG12=""),"",IF(OR(COUNTIFS(Roster!$B$7:$B$26,Roster!$B12,Roster!BG$7:BG$26,"?*")&gt;Setup!$B$5,COUNTIF(Roster!BG$7:BG$26,"?*")&gt;Setup!$B$6),"CLASH","OK"))</f>
        <v/>
      </c>
      <c r="BH12" s="34" t="str">
        <f aca="false">IF(OR(Roster!$A12="",Roster!BH12=""),"",IF(OR(COUNTIFS(Roster!$B$7:$B$26,Roster!$B12,Roster!BH$7:BH$26,"?*")&gt;Setup!$B$5,COUNTIF(Roster!BH$7:BH$26,"?*")&gt;Setup!$B$6),"CLASH","OK"))</f>
        <v/>
      </c>
      <c r="BI12" s="34" t="str">
        <f aca="false">IF(OR(Roster!$A12="",Roster!BI12=""),"",IF(OR(COUNTIFS(Roster!$B$7:$B$26,Roster!$B12,Roster!BI$7:BI$26,"?*")&gt;Setup!$B$5,COUNTIF(Roster!BI$7:BI$26,"?*")&gt;Setup!$B$6),"CLASH","OK"))</f>
        <v/>
      </c>
      <c r="BJ12" s="34" t="str">
        <f aca="false">IF(OR(Roster!$A12="",Roster!BJ12=""),"",IF(OR(COUNTIFS(Roster!$B$7:$B$26,Roster!$B12,Roster!BJ$7:BJ$26,"?*")&gt;Setup!$B$5,COUNTIF(Roster!BJ$7:BJ$26,"?*")&gt;Setup!$B$6),"CLASH","OK"))</f>
        <v/>
      </c>
      <c r="BK12" s="34" t="str">
        <f aca="false">IF(OR(Roster!$A12="",Roster!BK12=""),"",IF(OR(COUNTIFS(Roster!$B$7:$B$26,Roster!$B12,Roster!BK$7:BK$26,"?*")&gt;Setup!$B$5,COUNTIF(Roster!BK$7:BK$26,"?*")&gt;Setup!$B$6),"CLASH","OK"))</f>
        <v/>
      </c>
      <c r="BL12" s="34" t="str">
        <f aca="false">IF(OR(Roster!$A12="",Roster!BL12=""),"",IF(OR(COUNTIFS(Roster!$B$7:$B$26,Roster!$B12,Roster!BL$7:BL$26,"?*")&gt;Setup!$B$5,COUNTIF(Roster!BL$7:BL$26,"?*")&gt;Setup!$B$6),"CLASH","OK"))</f>
        <v/>
      </c>
      <c r="BM12" s="34" t="str">
        <f aca="false">IF(OR(Roster!$A12="",Roster!BM12=""),"",IF(OR(COUNTIFS(Roster!$B$7:$B$26,Roster!$B12,Roster!BM$7:BM$26,"?*")&gt;Setup!$B$5,COUNTIF(Roster!BM$7:BM$26,"?*")&gt;Setup!$B$6),"CLASH","OK"))</f>
        <v/>
      </c>
      <c r="BN12" s="34" t="str">
        <f aca="false">IF(OR(Roster!$A12="",Roster!BN12=""),"",IF(OR(COUNTIFS(Roster!$B$7:$B$26,Roster!$B12,Roster!BN$7:BN$26,"?*")&gt;Setup!$B$5,COUNTIF(Roster!BN$7:BN$26,"?*")&gt;Setup!$B$6),"CLASH","OK"))</f>
        <v/>
      </c>
      <c r="BO12" s="34" t="str">
        <f aca="false">IF(OR(Roster!$A12="",Roster!BO12=""),"",IF(OR(COUNTIFS(Roster!$B$7:$B$26,Roster!$B12,Roster!BO$7:BO$26,"?*")&gt;Setup!$B$5,COUNTIF(Roster!BO$7:BO$26,"?*")&gt;Setup!$B$6),"CLASH","OK"))</f>
        <v/>
      </c>
      <c r="BP12" s="34" t="str">
        <f aca="false">IF(OR(Roster!$A12="",Roster!BP12=""),"",IF(OR(COUNTIFS(Roster!$B$7:$B$26,Roster!$B12,Roster!BP$7:BP$26,"?*")&gt;Setup!$B$5,COUNTIF(Roster!BP$7:BP$26,"?*")&gt;Setup!$B$6),"CLASH","OK"))</f>
        <v/>
      </c>
      <c r="BQ12" s="34" t="str">
        <f aca="false">IF(OR(Roster!$A12="",Roster!BQ12=""),"",IF(OR(COUNTIFS(Roster!$B$7:$B$26,Roster!$B12,Roster!BQ$7:BQ$26,"?*")&gt;Setup!$B$5,COUNTIF(Roster!BQ$7:BQ$26,"?*")&gt;Setup!$B$6),"CLASH","OK"))</f>
        <v/>
      </c>
      <c r="BR12" s="34" t="str">
        <f aca="false">IF(OR(Roster!$A12="",Roster!BR12=""),"",IF(OR(COUNTIFS(Roster!$B$7:$B$26,Roster!$B12,Roster!BR$7:BR$26,"?*")&gt;Setup!$B$5,COUNTIF(Roster!BR$7:BR$26,"?*")&gt;Setup!$B$6),"CLASH","OK"))</f>
        <v/>
      </c>
      <c r="BS12" s="34" t="str">
        <f aca="false">IF(OR(Roster!$A12="",Roster!BS12=""),"",IF(OR(COUNTIFS(Roster!$B$7:$B$26,Roster!$B12,Roster!BS$7:BS$26,"?*")&gt;Setup!$B$5,COUNTIF(Roster!BS$7:BS$26,"?*")&gt;Setup!$B$6),"CLASH","OK"))</f>
        <v/>
      </c>
      <c r="BT12" s="34" t="str">
        <f aca="false">IF(OR(Roster!$A12="",Roster!BT12=""),"",IF(OR(COUNTIFS(Roster!$B$7:$B$26,Roster!$B12,Roster!BT$7:BT$26,"?*")&gt;Setup!$B$5,COUNTIF(Roster!BT$7:BT$26,"?*")&gt;Setup!$B$6),"CLASH","OK"))</f>
        <v/>
      </c>
      <c r="BU12" s="34" t="str">
        <f aca="false">IF(OR(Roster!$A12="",Roster!BU12=""),"",IF(OR(COUNTIFS(Roster!$B$7:$B$26,Roster!$B12,Roster!BU$7:BU$26,"?*")&gt;Setup!$B$5,COUNTIF(Roster!BU$7:BU$26,"?*")&gt;Setup!$B$6),"CLASH","OK"))</f>
        <v/>
      </c>
      <c r="BV12" s="34" t="str">
        <f aca="false">IF(OR(Roster!$A12="",Roster!BV12=""),"",IF(OR(COUNTIFS(Roster!$B$7:$B$26,Roster!$B12,Roster!BV$7:BV$26,"?*")&gt;Setup!$B$5,COUNTIF(Roster!BV$7:BV$26,"?*")&gt;Setup!$B$6),"CLASH","OK"))</f>
        <v/>
      </c>
      <c r="BW12" s="34" t="str">
        <f aca="false">IF(OR(Roster!$A12="",Roster!BW12=""),"",IF(OR(COUNTIFS(Roster!$B$7:$B$26,Roster!$B12,Roster!BW$7:BW$26,"?*")&gt;Setup!$B$5,COUNTIF(Roster!BW$7:BW$26,"?*")&gt;Setup!$B$6),"CLASH","OK"))</f>
        <v>OK</v>
      </c>
      <c r="BX12" s="34" t="str">
        <f aca="false">IF(OR(Roster!$A12="",Roster!BX12=""),"",IF(OR(COUNTIFS(Roster!$B$7:$B$26,Roster!$B12,Roster!BX$7:BX$26,"?*")&gt;Setup!$B$5,COUNTIF(Roster!BX$7:BX$26,"?*")&gt;Setup!$B$6),"CLASH","OK"))</f>
        <v>OK</v>
      </c>
      <c r="BY12" s="34" t="str">
        <f aca="false">IF(OR(Roster!$A12="",Roster!BY12=""),"",IF(OR(COUNTIFS(Roster!$B$7:$B$26,Roster!$B12,Roster!BY$7:BY$26,"?*")&gt;Setup!$B$5,COUNTIF(Roster!BY$7:BY$26,"?*")&gt;Setup!$B$6),"CLASH","OK"))</f>
        <v>OK</v>
      </c>
      <c r="BZ12" s="34" t="str">
        <f aca="false">IF(OR(Roster!$A12="",Roster!BZ12=""),"",IF(OR(COUNTIFS(Roster!$B$7:$B$26,Roster!$B12,Roster!BZ$7:BZ$26,"?*")&gt;Setup!$B$5,COUNTIF(Roster!BZ$7:BZ$26,"?*")&gt;Setup!$B$6),"CLASH","OK"))</f>
        <v>OK</v>
      </c>
      <c r="CA12" s="34" t="str">
        <f aca="false">IF(OR(Roster!$A12="",Roster!CA12=""),"",IF(OR(COUNTIFS(Roster!$B$7:$B$26,Roster!$B12,Roster!CA$7:CA$26,"?*")&gt;Setup!$B$5,COUNTIF(Roster!CA$7:CA$26,"?*")&gt;Setup!$B$6),"CLASH","OK"))</f>
        <v>OK</v>
      </c>
      <c r="CB12" s="34" t="str">
        <f aca="false">IF(OR(Roster!$A12="",Roster!CB12=""),"",IF(OR(COUNTIFS(Roster!$B$7:$B$26,Roster!$B12,Roster!CB$7:CB$26,"?*")&gt;Setup!$B$5,COUNTIF(Roster!CB$7:CB$26,"?*")&gt;Setup!$B$6),"CLASH","OK"))</f>
        <v/>
      </c>
      <c r="CC12" s="34" t="str">
        <f aca="false">IF(OR(Roster!$A12="",Roster!CC12=""),"",IF(OR(COUNTIFS(Roster!$B$7:$B$26,Roster!$B12,Roster!CC$7:CC$26,"?*")&gt;Setup!$B$5,COUNTIF(Roster!CC$7:CC$26,"?*")&gt;Setup!$B$6),"CLASH","OK"))</f>
        <v/>
      </c>
      <c r="CD12" s="34" t="str">
        <f aca="false">IF(OR(Roster!$A12="",Roster!CD12=""),"",IF(OR(COUNTIFS(Roster!$B$7:$B$26,Roster!$B12,Roster!CD$7:CD$26,"?*")&gt;Setup!$B$5,COUNTIF(Roster!CD$7:CD$26,"?*")&gt;Setup!$B$6),"CLASH","OK"))</f>
        <v/>
      </c>
      <c r="CE12" s="34" t="str">
        <f aca="false">IF(OR(Roster!$A12="",Roster!CE12=""),"",IF(OR(COUNTIFS(Roster!$B$7:$B$26,Roster!$B12,Roster!CE$7:CE$26,"?*")&gt;Setup!$B$5,COUNTIF(Roster!CE$7:CE$26,"?*")&gt;Setup!$B$6),"CLASH","OK"))</f>
        <v/>
      </c>
      <c r="CF12" s="34" t="str">
        <f aca="false">IF(OR(Roster!$A12="",Roster!CF12=""),"",IF(OR(COUNTIFS(Roster!$B$7:$B$26,Roster!$B12,Roster!CF$7:CF$26,"?*")&gt;Setup!$B$5,COUNTIF(Roster!CF$7:CF$26,"?*")&gt;Setup!$B$6),"CLASH","OK"))</f>
        <v/>
      </c>
      <c r="CG12" s="34" t="str">
        <f aca="false">IF(OR(Roster!$A12="",Roster!CG12=""),"",IF(OR(COUNTIFS(Roster!$B$7:$B$26,Roster!$B12,Roster!CG$7:CG$26,"?*")&gt;Setup!$B$5,COUNTIF(Roster!CG$7:CG$26,"?*")&gt;Setup!$B$6),"CLASH","OK"))</f>
        <v/>
      </c>
      <c r="CH12" s="34" t="str">
        <f aca="false">IF(OR(Roster!$A12="",Roster!CH12=""),"",IF(OR(COUNTIFS(Roster!$B$7:$B$26,Roster!$B12,Roster!CH$7:CH$26,"?*")&gt;Setup!$B$5,COUNTIF(Roster!CH$7:CH$26,"?*")&gt;Setup!$B$6),"CLASH","OK"))</f>
        <v/>
      </c>
      <c r="CI12" s="34" t="str">
        <f aca="false">IF(OR(Roster!$A12="",Roster!CI12=""),"",IF(OR(COUNTIFS(Roster!$B$7:$B$26,Roster!$B12,Roster!CI$7:CI$26,"?*")&gt;Setup!$B$5,COUNTIF(Roster!CI$7:CI$26,"?*")&gt;Setup!$B$6),"CLASH","OK"))</f>
        <v/>
      </c>
      <c r="CJ12" s="34" t="str">
        <f aca="false">IF(OR(Roster!$A12="",Roster!CJ12=""),"",IF(OR(COUNTIFS(Roster!$B$7:$B$26,Roster!$B12,Roster!CJ$7:CJ$26,"?*")&gt;Setup!$B$5,COUNTIF(Roster!CJ$7:CJ$26,"?*")&gt;Setup!$B$6),"CLASH","OK"))</f>
        <v/>
      </c>
      <c r="CK12" s="34" t="str">
        <f aca="false">IF(OR(Roster!$A12="",Roster!CK12=""),"",IF(OR(COUNTIFS(Roster!$B$7:$B$26,Roster!$B12,Roster!CK$7:CK$26,"?*")&gt;Setup!$B$5,COUNTIF(Roster!CK$7:CK$26,"?*")&gt;Setup!$B$6),"CLASH","OK"))</f>
        <v/>
      </c>
      <c r="CL12" s="34" t="str">
        <f aca="false">IF(OR(Roster!$A12="",Roster!CL12=""),"",IF(OR(COUNTIFS(Roster!$B$7:$B$26,Roster!$B12,Roster!CL$7:CL$26,"?*")&gt;Setup!$B$5,COUNTIF(Roster!CL$7:CL$26,"?*")&gt;Setup!$B$6),"CLASH","OK"))</f>
        <v/>
      </c>
      <c r="CM12" s="34" t="str">
        <f aca="false">IF(OR(Roster!$A12="",Roster!CM12=""),"",IF(OR(COUNTIFS(Roster!$B$7:$B$26,Roster!$B12,Roster!CM$7:CM$26,"?*")&gt;Setup!$B$5,COUNTIF(Roster!CM$7:CM$26,"?*")&gt;Setup!$B$6),"CLASH","OK"))</f>
        <v/>
      </c>
      <c r="CN12" s="34" t="str">
        <f aca="false">IF(OR(Roster!$A12="",Roster!CN12=""),"",IF(OR(COUNTIFS(Roster!$B$7:$B$26,Roster!$B12,Roster!CN$7:CN$26,"?*")&gt;Setup!$B$5,COUNTIF(Roster!CN$7:CN$26,"?*")&gt;Setup!$B$6),"CLASH","OK"))</f>
        <v/>
      </c>
      <c r="CO12" s="34" t="str">
        <f aca="false">IF(OR(Roster!$A12="",Roster!CO12=""),"",IF(OR(COUNTIFS(Roster!$B$7:$B$26,Roster!$B12,Roster!CO$7:CO$26,"?*")&gt;Setup!$B$5,COUNTIF(Roster!CO$7:CO$26,"?*")&gt;Setup!$B$6),"CLASH","OK"))</f>
        <v/>
      </c>
      <c r="CP12" s="34" t="str">
        <f aca="false">IF(OR(Roster!$A12="",Roster!CP12=""),"",IF(OR(COUNTIFS(Roster!$B$7:$B$26,Roster!$B12,Roster!CP$7:CP$26,"?*")&gt;Setup!$B$5,COUNTIF(Roster!CP$7:CP$26,"?*")&gt;Setup!$B$6),"CLASH","OK"))</f>
        <v/>
      </c>
      <c r="CQ12" s="34" t="str">
        <f aca="false">IF(OR(Roster!$A12="",Roster!CQ12=""),"",IF(OR(COUNTIFS(Roster!$B$7:$B$26,Roster!$B12,Roster!CQ$7:CQ$26,"?*")&gt;Setup!$B$5,COUNTIF(Roster!CQ$7:CQ$26,"?*")&gt;Setup!$B$6),"CLASH","OK"))</f>
        <v/>
      </c>
      <c r="CR12" s="34" t="str">
        <f aca="false">IF(OR(Roster!$A12="",Roster!CR12=""),"",IF(OR(COUNTIFS(Roster!$B$7:$B$26,Roster!$B12,Roster!CR$7:CR$26,"?*")&gt;Setup!$B$5,COUNTIF(Roster!CR$7:CR$26,"?*")&gt;Setup!$B$6),"CLASH","OK"))</f>
        <v/>
      </c>
      <c r="CS12" s="34" t="str">
        <f aca="false">IF(OR(Roster!$A12="",Roster!CS12=""),"",IF(OR(COUNTIFS(Roster!$B$7:$B$26,Roster!$B12,Roster!CS$7:CS$26,"?*")&gt;Setup!$B$5,COUNTIF(Roster!CS$7:CS$26,"?*")&gt;Setup!$B$6),"CLASH","OK"))</f>
        <v/>
      </c>
      <c r="CT12" s="34" t="str">
        <f aca="false">IF(OR(Roster!$A12="",Roster!CT12=""),"",IF(OR(COUNTIFS(Roster!$B$7:$B$26,Roster!$B12,Roster!CT$7:CT$26,"?*")&gt;Setup!$B$5,COUNTIF(Roster!CT$7:CT$26,"?*")&gt;Setup!$B$6),"CLASH","OK"))</f>
        <v/>
      </c>
      <c r="CU12" s="34" t="str">
        <f aca="false">IF(OR(Roster!$A12="",Roster!CU12=""),"",IF(OR(COUNTIFS(Roster!$B$7:$B$26,Roster!$B12,Roster!CU$7:CU$26,"?*")&gt;Setup!$B$5,COUNTIF(Roster!CU$7:CU$26,"?*")&gt;Setup!$B$6),"CLASH","OK"))</f>
        <v/>
      </c>
    </row>
    <row r="13" customFormat="false" ht="15" hidden="false" customHeight="false" outlineLevel="0" collapsed="false">
      <c r="A13" s="33" t="str">
        <f aca="false">IF(Roster!A13="","",Roster!A13)</f>
        <v>Grace Lee</v>
      </c>
      <c r="B13" s="33" t="str">
        <f aca="false">IF(Roster!A13="","",Roster!B13)</f>
        <v>IT</v>
      </c>
      <c r="H13" s="34" t="str">
        <f aca="false">IF(OR(Roster!$A13="",Roster!H13=""),"",IF(OR(COUNTIFS(Roster!$B$7:$B$26,Roster!$B13,Roster!H$7:H$26,"?*")&gt;Setup!$B$5,COUNTIF(Roster!H$7:H$26,"?*")&gt;Setup!$B$6),"CLASH","OK"))</f>
        <v/>
      </c>
      <c r="I13" s="34" t="str">
        <f aca="false">IF(OR(Roster!$A13="",Roster!I13=""),"",IF(OR(COUNTIFS(Roster!$B$7:$B$26,Roster!$B13,Roster!I$7:I$26,"?*")&gt;Setup!$B$5,COUNTIF(Roster!I$7:I$26,"?*")&gt;Setup!$B$6),"CLASH","OK"))</f>
        <v/>
      </c>
      <c r="J13" s="34" t="str">
        <f aca="false">IF(OR(Roster!$A13="",Roster!J13=""),"",IF(OR(COUNTIFS(Roster!$B$7:$B$26,Roster!$B13,Roster!J$7:J$26,"?*")&gt;Setup!$B$5,COUNTIF(Roster!J$7:J$26,"?*")&gt;Setup!$B$6),"CLASH","OK"))</f>
        <v/>
      </c>
      <c r="K13" s="34" t="str">
        <f aca="false">IF(OR(Roster!$A13="",Roster!K13=""),"",IF(OR(COUNTIFS(Roster!$B$7:$B$26,Roster!$B13,Roster!K$7:K$26,"?*")&gt;Setup!$B$5,COUNTIF(Roster!K$7:K$26,"?*")&gt;Setup!$B$6),"CLASH","OK"))</f>
        <v/>
      </c>
      <c r="L13" s="34" t="str">
        <f aca="false">IF(OR(Roster!$A13="",Roster!L13=""),"",IF(OR(COUNTIFS(Roster!$B$7:$B$26,Roster!$B13,Roster!L$7:L$26,"?*")&gt;Setup!$B$5,COUNTIF(Roster!L$7:L$26,"?*")&gt;Setup!$B$6),"CLASH","OK"))</f>
        <v/>
      </c>
      <c r="M13" s="34" t="str">
        <f aca="false">IF(OR(Roster!$A13="",Roster!M13=""),"",IF(OR(COUNTIFS(Roster!$B$7:$B$26,Roster!$B13,Roster!M$7:M$26,"?*")&gt;Setup!$B$5,COUNTIF(Roster!M$7:M$26,"?*")&gt;Setup!$B$6),"CLASH","OK"))</f>
        <v/>
      </c>
      <c r="N13" s="34" t="str">
        <f aca="false">IF(OR(Roster!$A13="",Roster!N13=""),"",IF(OR(COUNTIFS(Roster!$B$7:$B$26,Roster!$B13,Roster!N$7:N$26,"?*")&gt;Setup!$B$5,COUNTIF(Roster!N$7:N$26,"?*")&gt;Setup!$B$6),"CLASH","OK"))</f>
        <v/>
      </c>
      <c r="O13" s="34" t="str">
        <f aca="false">IF(OR(Roster!$A13="",Roster!O13=""),"",IF(OR(COUNTIFS(Roster!$B$7:$B$26,Roster!$B13,Roster!O$7:O$26,"?*")&gt;Setup!$B$5,COUNTIF(Roster!O$7:O$26,"?*")&gt;Setup!$B$6),"CLASH","OK"))</f>
        <v/>
      </c>
      <c r="P13" s="34" t="str">
        <f aca="false">IF(OR(Roster!$A13="",Roster!P13=""),"",IF(OR(COUNTIFS(Roster!$B$7:$B$26,Roster!$B13,Roster!P$7:P$26,"?*")&gt;Setup!$B$5,COUNTIF(Roster!P$7:P$26,"?*")&gt;Setup!$B$6),"CLASH","OK"))</f>
        <v/>
      </c>
      <c r="Q13" s="34" t="str">
        <f aca="false">IF(OR(Roster!$A13="",Roster!Q13=""),"",IF(OR(COUNTIFS(Roster!$B$7:$B$26,Roster!$B13,Roster!Q$7:Q$26,"?*")&gt;Setup!$B$5,COUNTIF(Roster!Q$7:Q$26,"?*")&gt;Setup!$B$6),"CLASH","OK"))</f>
        <v/>
      </c>
      <c r="R13" s="34" t="str">
        <f aca="false">IF(OR(Roster!$A13="",Roster!R13=""),"",IF(OR(COUNTIFS(Roster!$B$7:$B$26,Roster!$B13,Roster!R$7:R$26,"?*")&gt;Setup!$B$5,COUNTIF(Roster!R$7:R$26,"?*")&gt;Setup!$B$6),"CLASH","OK"))</f>
        <v/>
      </c>
      <c r="S13" s="34" t="str">
        <f aca="false">IF(OR(Roster!$A13="",Roster!S13=""),"",IF(OR(COUNTIFS(Roster!$B$7:$B$26,Roster!$B13,Roster!S$7:S$26,"?*")&gt;Setup!$B$5,COUNTIF(Roster!S$7:S$26,"?*")&gt;Setup!$B$6),"CLASH","OK"))</f>
        <v/>
      </c>
      <c r="T13" s="34" t="str">
        <f aca="false">IF(OR(Roster!$A13="",Roster!T13=""),"",IF(OR(COUNTIFS(Roster!$B$7:$B$26,Roster!$B13,Roster!T$7:T$26,"?*")&gt;Setup!$B$5,COUNTIF(Roster!T$7:T$26,"?*")&gt;Setup!$B$6),"CLASH","OK"))</f>
        <v/>
      </c>
      <c r="U13" s="34" t="str">
        <f aca="false">IF(OR(Roster!$A13="",Roster!U13=""),"",IF(OR(COUNTIFS(Roster!$B$7:$B$26,Roster!$B13,Roster!U$7:U$26,"?*")&gt;Setup!$B$5,COUNTIF(Roster!U$7:U$26,"?*")&gt;Setup!$B$6),"CLASH","OK"))</f>
        <v/>
      </c>
      <c r="V13" s="34" t="str">
        <f aca="false">IF(OR(Roster!$A13="",Roster!V13=""),"",IF(OR(COUNTIFS(Roster!$B$7:$B$26,Roster!$B13,Roster!V$7:V$26,"?*")&gt;Setup!$B$5,COUNTIF(Roster!V$7:V$26,"?*")&gt;Setup!$B$6),"CLASH","OK"))</f>
        <v/>
      </c>
      <c r="W13" s="34" t="str">
        <f aca="false">IF(OR(Roster!$A13="",Roster!W13=""),"",IF(OR(COUNTIFS(Roster!$B$7:$B$26,Roster!$B13,Roster!W$7:W$26,"?*")&gt;Setup!$B$5,COUNTIF(Roster!W$7:W$26,"?*")&gt;Setup!$B$6),"CLASH","OK"))</f>
        <v/>
      </c>
      <c r="X13" s="34" t="str">
        <f aca="false">IF(OR(Roster!$A13="",Roster!X13=""),"",IF(OR(COUNTIFS(Roster!$B$7:$B$26,Roster!$B13,Roster!X$7:X$26,"?*")&gt;Setup!$B$5,COUNTIF(Roster!X$7:X$26,"?*")&gt;Setup!$B$6),"CLASH","OK"))</f>
        <v/>
      </c>
      <c r="Y13" s="34" t="str">
        <f aca="false">IF(OR(Roster!$A13="",Roster!Y13=""),"",IF(OR(COUNTIFS(Roster!$B$7:$B$26,Roster!$B13,Roster!Y$7:Y$26,"?*")&gt;Setup!$B$5,COUNTIF(Roster!Y$7:Y$26,"?*")&gt;Setup!$B$6),"CLASH","OK"))</f>
        <v/>
      </c>
      <c r="Z13" s="34" t="str">
        <f aca="false">IF(OR(Roster!$A13="",Roster!Z13=""),"",IF(OR(COUNTIFS(Roster!$B$7:$B$26,Roster!$B13,Roster!Z$7:Z$26,"?*")&gt;Setup!$B$5,COUNTIF(Roster!Z$7:Z$26,"?*")&gt;Setup!$B$6),"CLASH","OK"))</f>
        <v/>
      </c>
      <c r="AA13" s="34" t="str">
        <f aca="false">IF(OR(Roster!$A13="",Roster!AA13=""),"",IF(OR(COUNTIFS(Roster!$B$7:$B$26,Roster!$B13,Roster!AA$7:AA$26,"?*")&gt;Setup!$B$5,COUNTIF(Roster!AA$7:AA$26,"?*")&gt;Setup!$B$6),"CLASH","OK"))</f>
        <v/>
      </c>
      <c r="AB13" s="34" t="str">
        <f aca="false">IF(OR(Roster!$A13="",Roster!AB13=""),"",IF(OR(COUNTIFS(Roster!$B$7:$B$26,Roster!$B13,Roster!AB$7:AB$26,"?*")&gt;Setup!$B$5,COUNTIF(Roster!AB$7:AB$26,"?*")&gt;Setup!$B$6),"CLASH","OK"))</f>
        <v/>
      </c>
      <c r="AC13" s="34" t="str">
        <f aca="false">IF(OR(Roster!$A13="",Roster!AC13=""),"",IF(OR(COUNTIFS(Roster!$B$7:$B$26,Roster!$B13,Roster!AC$7:AC$26,"?*")&gt;Setup!$B$5,COUNTIF(Roster!AC$7:AC$26,"?*")&gt;Setup!$B$6),"CLASH","OK"))</f>
        <v/>
      </c>
      <c r="AD13" s="34" t="str">
        <f aca="false">IF(OR(Roster!$A13="",Roster!AD13=""),"",IF(OR(COUNTIFS(Roster!$B$7:$B$26,Roster!$B13,Roster!AD$7:AD$26,"?*")&gt;Setup!$B$5,COUNTIF(Roster!AD$7:AD$26,"?*")&gt;Setup!$B$6),"CLASH","OK"))</f>
        <v/>
      </c>
      <c r="AE13" s="34" t="str">
        <f aca="false">IF(OR(Roster!$A13="",Roster!AE13=""),"",IF(OR(COUNTIFS(Roster!$B$7:$B$26,Roster!$B13,Roster!AE$7:AE$26,"?*")&gt;Setup!$B$5,COUNTIF(Roster!AE$7:AE$26,"?*")&gt;Setup!$B$6),"CLASH","OK"))</f>
        <v/>
      </c>
      <c r="AF13" s="34" t="str">
        <f aca="false">IF(OR(Roster!$A13="",Roster!AF13=""),"",IF(OR(COUNTIFS(Roster!$B$7:$B$26,Roster!$B13,Roster!AF$7:AF$26,"?*")&gt;Setup!$B$5,COUNTIF(Roster!AF$7:AF$26,"?*")&gt;Setup!$B$6),"CLASH","OK"))</f>
        <v/>
      </c>
      <c r="AG13" s="34" t="str">
        <f aca="false">IF(OR(Roster!$A13="",Roster!AG13=""),"",IF(OR(COUNTIFS(Roster!$B$7:$B$26,Roster!$B13,Roster!AG$7:AG$26,"?*")&gt;Setup!$B$5,COUNTIF(Roster!AG$7:AG$26,"?*")&gt;Setup!$B$6),"CLASH","OK"))</f>
        <v/>
      </c>
      <c r="AH13" s="34" t="str">
        <f aca="false">IF(OR(Roster!$A13="",Roster!AH13=""),"",IF(OR(COUNTIFS(Roster!$B$7:$B$26,Roster!$B13,Roster!AH$7:AH$26,"?*")&gt;Setup!$B$5,COUNTIF(Roster!AH$7:AH$26,"?*")&gt;Setup!$B$6),"CLASH","OK"))</f>
        <v/>
      </c>
      <c r="AI13" s="34" t="str">
        <f aca="false">IF(OR(Roster!$A13="",Roster!AI13=""),"",IF(OR(COUNTIFS(Roster!$B$7:$B$26,Roster!$B13,Roster!AI$7:AI$26,"?*")&gt;Setup!$B$5,COUNTIF(Roster!AI$7:AI$26,"?*")&gt;Setup!$B$6),"CLASH","OK"))</f>
        <v/>
      </c>
      <c r="AJ13" s="34" t="str">
        <f aca="false">IF(OR(Roster!$A13="",Roster!AJ13=""),"",IF(OR(COUNTIFS(Roster!$B$7:$B$26,Roster!$B13,Roster!AJ$7:AJ$26,"?*")&gt;Setup!$B$5,COUNTIF(Roster!AJ$7:AJ$26,"?*")&gt;Setup!$B$6),"CLASH","OK"))</f>
        <v/>
      </c>
      <c r="AK13" s="34" t="str">
        <f aca="false">IF(OR(Roster!$A13="",Roster!AK13=""),"",IF(OR(COUNTIFS(Roster!$B$7:$B$26,Roster!$B13,Roster!AK$7:AK$26,"?*")&gt;Setup!$B$5,COUNTIF(Roster!AK$7:AK$26,"?*")&gt;Setup!$B$6),"CLASH","OK"))</f>
        <v/>
      </c>
      <c r="AL13" s="34" t="str">
        <f aca="false">IF(OR(Roster!$A13="",Roster!AL13=""),"",IF(OR(COUNTIFS(Roster!$B$7:$B$26,Roster!$B13,Roster!AL$7:AL$26,"?*")&gt;Setup!$B$5,COUNTIF(Roster!AL$7:AL$26,"?*")&gt;Setup!$B$6),"CLASH","OK"))</f>
        <v/>
      </c>
      <c r="AM13" s="34" t="str">
        <f aca="false">IF(OR(Roster!$A13="",Roster!AM13=""),"",IF(OR(COUNTIFS(Roster!$B$7:$B$26,Roster!$B13,Roster!AM$7:AM$26,"?*")&gt;Setup!$B$5,COUNTIF(Roster!AM$7:AM$26,"?*")&gt;Setup!$B$6),"CLASH","OK"))</f>
        <v/>
      </c>
      <c r="AN13" s="34" t="str">
        <f aca="false">IF(OR(Roster!$A13="",Roster!AN13=""),"",IF(OR(COUNTIFS(Roster!$B$7:$B$26,Roster!$B13,Roster!AN$7:AN$26,"?*")&gt;Setup!$B$5,COUNTIF(Roster!AN$7:AN$26,"?*")&gt;Setup!$B$6),"CLASH","OK"))</f>
        <v/>
      </c>
      <c r="AO13" s="34" t="str">
        <f aca="false">IF(OR(Roster!$A13="",Roster!AO13=""),"",IF(OR(COUNTIFS(Roster!$B$7:$B$26,Roster!$B13,Roster!AO$7:AO$26,"?*")&gt;Setup!$B$5,COUNTIF(Roster!AO$7:AO$26,"?*")&gt;Setup!$B$6),"CLASH","OK"))</f>
        <v/>
      </c>
      <c r="AP13" s="34" t="str">
        <f aca="false">IF(OR(Roster!$A13="",Roster!AP13=""),"",IF(OR(COUNTIFS(Roster!$B$7:$B$26,Roster!$B13,Roster!AP$7:AP$26,"?*")&gt;Setup!$B$5,COUNTIF(Roster!AP$7:AP$26,"?*")&gt;Setup!$B$6),"CLASH","OK"))</f>
        <v/>
      </c>
      <c r="AQ13" s="34" t="str">
        <f aca="false">IF(OR(Roster!$A13="",Roster!AQ13=""),"",IF(OR(COUNTIFS(Roster!$B$7:$B$26,Roster!$B13,Roster!AQ$7:AQ$26,"?*")&gt;Setup!$B$5,COUNTIF(Roster!AQ$7:AQ$26,"?*")&gt;Setup!$B$6),"CLASH","OK"))</f>
        <v/>
      </c>
      <c r="AR13" s="34" t="str">
        <f aca="false">IF(OR(Roster!$A13="",Roster!AR13=""),"",IF(OR(COUNTIFS(Roster!$B$7:$B$26,Roster!$B13,Roster!AR$7:AR$26,"?*")&gt;Setup!$B$5,COUNTIF(Roster!AR$7:AR$26,"?*")&gt;Setup!$B$6),"CLASH","OK"))</f>
        <v/>
      </c>
      <c r="AS13" s="34" t="str">
        <f aca="false">IF(OR(Roster!$A13="",Roster!AS13=""),"",IF(OR(COUNTIFS(Roster!$B$7:$B$26,Roster!$B13,Roster!AS$7:AS$26,"?*")&gt;Setup!$B$5,COUNTIF(Roster!AS$7:AS$26,"?*")&gt;Setup!$B$6),"CLASH","OK"))</f>
        <v/>
      </c>
      <c r="AT13" s="34" t="str">
        <f aca="false">IF(OR(Roster!$A13="",Roster!AT13=""),"",IF(OR(COUNTIFS(Roster!$B$7:$B$26,Roster!$B13,Roster!AT$7:AT$26,"?*")&gt;Setup!$B$5,COUNTIF(Roster!AT$7:AT$26,"?*")&gt;Setup!$B$6),"CLASH","OK"))</f>
        <v/>
      </c>
      <c r="AU13" s="34" t="str">
        <f aca="false">IF(OR(Roster!$A13="",Roster!AU13=""),"",IF(OR(COUNTIFS(Roster!$B$7:$B$26,Roster!$B13,Roster!AU$7:AU$26,"?*")&gt;Setup!$B$5,COUNTIF(Roster!AU$7:AU$26,"?*")&gt;Setup!$B$6),"CLASH","OK"))</f>
        <v/>
      </c>
      <c r="AV13" s="34" t="str">
        <f aca="false">IF(OR(Roster!$A13="",Roster!AV13=""),"",IF(OR(COUNTIFS(Roster!$B$7:$B$26,Roster!$B13,Roster!AV$7:AV$26,"?*")&gt;Setup!$B$5,COUNTIF(Roster!AV$7:AV$26,"?*")&gt;Setup!$B$6),"CLASH","OK"))</f>
        <v/>
      </c>
      <c r="AW13" s="34" t="str">
        <f aca="false">IF(OR(Roster!$A13="",Roster!AW13=""),"",IF(OR(COUNTIFS(Roster!$B$7:$B$26,Roster!$B13,Roster!AW$7:AW$26,"?*")&gt;Setup!$B$5,COUNTIF(Roster!AW$7:AW$26,"?*")&gt;Setup!$B$6),"CLASH","OK"))</f>
        <v/>
      </c>
      <c r="AX13" s="34" t="str">
        <f aca="false">IF(OR(Roster!$A13="",Roster!AX13=""),"",IF(OR(COUNTIFS(Roster!$B$7:$B$26,Roster!$B13,Roster!AX$7:AX$26,"?*")&gt;Setup!$B$5,COUNTIF(Roster!AX$7:AX$26,"?*")&gt;Setup!$B$6),"CLASH","OK"))</f>
        <v/>
      </c>
      <c r="AY13" s="34" t="str">
        <f aca="false">IF(OR(Roster!$A13="",Roster!AY13=""),"",IF(OR(COUNTIFS(Roster!$B$7:$B$26,Roster!$B13,Roster!AY$7:AY$26,"?*")&gt;Setup!$B$5,COUNTIF(Roster!AY$7:AY$26,"?*")&gt;Setup!$B$6),"CLASH","OK"))</f>
        <v/>
      </c>
      <c r="AZ13" s="34" t="str">
        <f aca="false">IF(OR(Roster!$A13="",Roster!AZ13=""),"",IF(OR(COUNTIFS(Roster!$B$7:$B$26,Roster!$B13,Roster!AZ$7:AZ$26,"?*")&gt;Setup!$B$5,COUNTIF(Roster!AZ$7:AZ$26,"?*")&gt;Setup!$B$6),"CLASH","OK"))</f>
        <v/>
      </c>
      <c r="BA13" s="34" t="str">
        <f aca="false">IF(OR(Roster!$A13="",Roster!BA13=""),"",IF(OR(COUNTIFS(Roster!$B$7:$B$26,Roster!$B13,Roster!BA$7:BA$26,"?*")&gt;Setup!$B$5,COUNTIF(Roster!BA$7:BA$26,"?*")&gt;Setup!$B$6),"CLASH","OK"))</f>
        <v/>
      </c>
      <c r="BB13" s="34" t="str">
        <f aca="false">IF(OR(Roster!$A13="",Roster!BB13=""),"",IF(OR(COUNTIFS(Roster!$B$7:$B$26,Roster!$B13,Roster!BB$7:BB$26,"?*")&gt;Setup!$B$5,COUNTIF(Roster!BB$7:BB$26,"?*")&gt;Setup!$B$6),"CLASH","OK"))</f>
        <v/>
      </c>
      <c r="BC13" s="34" t="str">
        <f aca="false">IF(OR(Roster!$A13="",Roster!BC13=""),"",IF(OR(COUNTIFS(Roster!$B$7:$B$26,Roster!$B13,Roster!BC$7:BC$26,"?*")&gt;Setup!$B$5,COUNTIF(Roster!BC$7:BC$26,"?*")&gt;Setup!$B$6),"CLASH","OK"))</f>
        <v/>
      </c>
      <c r="BD13" s="34" t="str">
        <f aca="false">IF(OR(Roster!$A13="",Roster!BD13=""),"",IF(OR(COUNTIFS(Roster!$B$7:$B$26,Roster!$B13,Roster!BD$7:BD$26,"?*")&gt;Setup!$B$5,COUNTIF(Roster!BD$7:BD$26,"?*")&gt;Setup!$B$6),"CLASH","OK"))</f>
        <v/>
      </c>
      <c r="BE13" s="34" t="str">
        <f aca="false">IF(OR(Roster!$A13="",Roster!BE13=""),"",IF(OR(COUNTIFS(Roster!$B$7:$B$26,Roster!$B13,Roster!BE$7:BE$26,"?*")&gt;Setup!$B$5,COUNTIF(Roster!BE$7:BE$26,"?*")&gt;Setup!$B$6),"CLASH","OK"))</f>
        <v/>
      </c>
      <c r="BF13" s="34" t="str">
        <f aca="false">IF(OR(Roster!$A13="",Roster!BF13=""),"",IF(OR(COUNTIFS(Roster!$B$7:$B$26,Roster!$B13,Roster!BF$7:BF$26,"?*")&gt;Setup!$B$5,COUNTIF(Roster!BF$7:BF$26,"?*")&gt;Setup!$B$6),"CLASH","OK"))</f>
        <v/>
      </c>
      <c r="BG13" s="34" t="str">
        <f aca="false">IF(OR(Roster!$A13="",Roster!BG13=""),"",IF(OR(COUNTIFS(Roster!$B$7:$B$26,Roster!$B13,Roster!BG$7:BG$26,"?*")&gt;Setup!$B$5,COUNTIF(Roster!BG$7:BG$26,"?*")&gt;Setup!$B$6),"CLASH","OK"))</f>
        <v/>
      </c>
      <c r="BH13" s="34" t="str">
        <f aca="false">IF(OR(Roster!$A13="",Roster!BH13=""),"",IF(OR(COUNTIFS(Roster!$B$7:$B$26,Roster!$B13,Roster!BH$7:BH$26,"?*")&gt;Setup!$B$5,COUNTIF(Roster!BH$7:BH$26,"?*")&gt;Setup!$B$6),"CLASH","OK"))</f>
        <v/>
      </c>
      <c r="BI13" s="34" t="str">
        <f aca="false">IF(OR(Roster!$A13="",Roster!BI13=""),"",IF(OR(COUNTIFS(Roster!$B$7:$B$26,Roster!$B13,Roster!BI$7:BI$26,"?*")&gt;Setup!$B$5,COUNTIF(Roster!BI$7:BI$26,"?*")&gt;Setup!$B$6),"CLASH","OK"))</f>
        <v/>
      </c>
      <c r="BJ13" s="34" t="str">
        <f aca="false">IF(OR(Roster!$A13="",Roster!BJ13=""),"",IF(OR(COUNTIFS(Roster!$B$7:$B$26,Roster!$B13,Roster!BJ$7:BJ$26,"?*")&gt;Setup!$B$5,COUNTIF(Roster!BJ$7:BJ$26,"?*")&gt;Setup!$B$6),"CLASH","OK"))</f>
        <v/>
      </c>
      <c r="BK13" s="34" t="str">
        <f aca="false">IF(OR(Roster!$A13="",Roster!BK13=""),"",IF(OR(COUNTIFS(Roster!$B$7:$B$26,Roster!$B13,Roster!BK$7:BK$26,"?*")&gt;Setup!$B$5,COUNTIF(Roster!BK$7:BK$26,"?*")&gt;Setup!$B$6),"CLASH","OK"))</f>
        <v/>
      </c>
      <c r="BL13" s="34" t="str">
        <f aca="false">IF(OR(Roster!$A13="",Roster!BL13=""),"",IF(OR(COUNTIFS(Roster!$B$7:$B$26,Roster!$B13,Roster!BL$7:BL$26,"?*")&gt;Setup!$B$5,COUNTIF(Roster!BL$7:BL$26,"?*")&gt;Setup!$B$6),"CLASH","OK"))</f>
        <v/>
      </c>
      <c r="BM13" s="34" t="str">
        <f aca="false">IF(OR(Roster!$A13="",Roster!BM13=""),"",IF(OR(COUNTIFS(Roster!$B$7:$B$26,Roster!$B13,Roster!BM$7:BM$26,"?*")&gt;Setup!$B$5,COUNTIF(Roster!BM$7:BM$26,"?*")&gt;Setup!$B$6),"CLASH","OK"))</f>
        <v/>
      </c>
      <c r="BN13" s="34" t="str">
        <f aca="false">IF(OR(Roster!$A13="",Roster!BN13=""),"",IF(OR(COUNTIFS(Roster!$B$7:$B$26,Roster!$B13,Roster!BN$7:BN$26,"?*")&gt;Setup!$B$5,COUNTIF(Roster!BN$7:BN$26,"?*")&gt;Setup!$B$6),"CLASH","OK"))</f>
        <v/>
      </c>
      <c r="BO13" s="34" t="str">
        <f aca="false">IF(OR(Roster!$A13="",Roster!BO13=""),"",IF(OR(COUNTIFS(Roster!$B$7:$B$26,Roster!$B13,Roster!BO$7:BO$26,"?*")&gt;Setup!$B$5,COUNTIF(Roster!BO$7:BO$26,"?*")&gt;Setup!$B$6),"CLASH","OK"))</f>
        <v/>
      </c>
      <c r="BP13" s="34" t="str">
        <f aca="false">IF(OR(Roster!$A13="",Roster!BP13=""),"",IF(OR(COUNTIFS(Roster!$B$7:$B$26,Roster!$B13,Roster!BP$7:BP$26,"?*")&gt;Setup!$B$5,COUNTIF(Roster!BP$7:BP$26,"?*")&gt;Setup!$B$6),"CLASH","OK"))</f>
        <v/>
      </c>
      <c r="BQ13" s="34" t="str">
        <f aca="false">IF(OR(Roster!$A13="",Roster!BQ13=""),"",IF(OR(COUNTIFS(Roster!$B$7:$B$26,Roster!$B13,Roster!BQ$7:BQ$26,"?*")&gt;Setup!$B$5,COUNTIF(Roster!BQ$7:BQ$26,"?*")&gt;Setup!$B$6),"CLASH","OK"))</f>
        <v/>
      </c>
      <c r="BR13" s="34" t="str">
        <f aca="false">IF(OR(Roster!$A13="",Roster!BR13=""),"",IF(OR(COUNTIFS(Roster!$B$7:$B$26,Roster!$B13,Roster!BR$7:BR$26,"?*")&gt;Setup!$B$5,COUNTIF(Roster!BR$7:BR$26,"?*")&gt;Setup!$B$6),"CLASH","OK"))</f>
        <v/>
      </c>
      <c r="BS13" s="34" t="str">
        <f aca="false">IF(OR(Roster!$A13="",Roster!BS13=""),"",IF(OR(COUNTIFS(Roster!$B$7:$B$26,Roster!$B13,Roster!BS$7:BS$26,"?*")&gt;Setup!$B$5,COUNTIF(Roster!BS$7:BS$26,"?*")&gt;Setup!$B$6),"CLASH","OK"))</f>
        <v/>
      </c>
      <c r="BT13" s="34" t="str">
        <f aca="false">IF(OR(Roster!$A13="",Roster!BT13=""),"",IF(OR(COUNTIFS(Roster!$B$7:$B$26,Roster!$B13,Roster!BT$7:BT$26,"?*")&gt;Setup!$B$5,COUNTIF(Roster!BT$7:BT$26,"?*")&gt;Setup!$B$6),"CLASH","OK"))</f>
        <v/>
      </c>
      <c r="BU13" s="34" t="str">
        <f aca="false">IF(OR(Roster!$A13="",Roster!BU13=""),"",IF(OR(COUNTIFS(Roster!$B$7:$B$26,Roster!$B13,Roster!BU$7:BU$26,"?*")&gt;Setup!$B$5,COUNTIF(Roster!BU$7:BU$26,"?*")&gt;Setup!$B$6),"CLASH","OK"))</f>
        <v/>
      </c>
      <c r="BV13" s="34" t="str">
        <f aca="false">IF(OR(Roster!$A13="",Roster!BV13=""),"",IF(OR(COUNTIFS(Roster!$B$7:$B$26,Roster!$B13,Roster!BV$7:BV$26,"?*")&gt;Setup!$B$5,COUNTIF(Roster!BV$7:BV$26,"?*")&gt;Setup!$B$6),"CLASH","OK"))</f>
        <v/>
      </c>
      <c r="BW13" s="34" t="str">
        <f aca="false">IF(OR(Roster!$A13="",Roster!BW13=""),"",IF(OR(COUNTIFS(Roster!$B$7:$B$26,Roster!$B13,Roster!BW$7:BW$26,"?*")&gt;Setup!$B$5,COUNTIF(Roster!BW$7:BW$26,"?*")&gt;Setup!$B$6),"CLASH","OK"))</f>
        <v/>
      </c>
      <c r="BX13" s="34" t="str">
        <f aca="false">IF(OR(Roster!$A13="",Roster!BX13=""),"",IF(OR(COUNTIFS(Roster!$B$7:$B$26,Roster!$B13,Roster!BX$7:BX$26,"?*")&gt;Setup!$B$5,COUNTIF(Roster!BX$7:BX$26,"?*")&gt;Setup!$B$6),"CLASH","OK"))</f>
        <v/>
      </c>
      <c r="BY13" s="34" t="str">
        <f aca="false">IF(OR(Roster!$A13="",Roster!BY13=""),"",IF(OR(COUNTIFS(Roster!$B$7:$B$26,Roster!$B13,Roster!BY$7:BY$26,"?*")&gt;Setup!$B$5,COUNTIF(Roster!BY$7:BY$26,"?*")&gt;Setup!$B$6),"CLASH","OK"))</f>
        <v/>
      </c>
      <c r="BZ13" s="34" t="str">
        <f aca="false">IF(OR(Roster!$A13="",Roster!BZ13=""),"",IF(OR(COUNTIFS(Roster!$B$7:$B$26,Roster!$B13,Roster!BZ$7:BZ$26,"?*")&gt;Setup!$B$5,COUNTIF(Roster!BZ$7:BZ$26,"?*")&gt;Setup!$B$6),"CLASH","OK"))</f>
        <v/>
      </c>
      <c r="CA13" s="34" t="str">
        <f aca="false">IF(OR(Roster!$A13="",Roster!CA13=""),"",IF(OR(COUNTIFS(Roster!$B$7:$B$26,Roster!$B13,Roster!CA$7:CA$26,"?*")&gt;Setup!$B$5,COUNTIF(Roster!CA$7:CA$26,"?*")&gt;Setup!$B$6),"CLASH","OK"))</f>
        <v/>
      </c>
      <c r="CB13" s="34" t="str">
        <f aca="false">IF(OR(Roster!$A13="",Roster!CB13=""),"",IF(OR(COUNTIFS(Roster!$B$7:$B$26,Roster!$B13,Roster!CB$7:CB$26,"?*")&gt;Setup!$B$5,COUNTIF(Roster!CB$7:CB$26,"?*")&gt;Setup!$B$6),"CLASH","OK"))</f>
        <v/>
      </c>
      <c r="CC13" s="34" t="str">
        <f aca="false">IF(OR(Roster!$A13="",Roster!CC13=""),"",IF(OR(COUNTIFS(Roster!$B$7:$B$26,Roster!$B13,Roster!CC$7:CC$26,"?*")&gt;Setup!$B$5,COUNTIF(Roster!CC$7:CC$26,"?*")&gt;Setup!$B$6),"CLASH","OK"))</f>
        <v/>
      </c>
      <c r="CD13" s="34" t="str">
        <f aca="false">IF(OR(Roster!$A13="",Roster!CD13=""),"",IF(OR(COUNTIFS(Roster!$B$7:$B$26,Roster!$B13,Roster!CD$7:CD$26,"?*")&gt;Setup!$B$5,COUNTIF(Roster!CD$7:CD$26,"?*")&gt;Setup!$B$6),"CLASH","OK"))</f>
        <v/>
      </c>
      <c r="CE13" s="34" t="str">
        <f aca="false">IF(OR(Roster!$A13="",Roster!CE13=""),"",IF(OR(COUNTIFS(Roster!$B$7:$B$26,Roster!$B13,Roster!CE$7:CE$26,"?*")&gt;Setup!$B$5,COUNTIF(Roster!CE$7:CE$26,"?*")&gt;Setup!$B$6),"CLASH","OK"))</f>
        <v/>
      </c>
      <c r="CF13" s="34" t="str">
        <f aca="false">IF(OR(Roster!$A13="",Roster!CF13=""),"",IF(OR(COUNTIFS(Roster!$B$7:$B$26,Roster!$B13,Roster!CF$7:CF$26,"?*")&gt;Setup!$B$5,COUNTIF(Roster!CF$7:CF$26,"?*")&gt;Setup!$B$6),"CLASH","OK"))</f>
        <v/>
      </c>
      <c r="CG13" s="34" t="str">
        <f aca="false">IF(OR(Roster!$A13="",Roster!CG13=""),"",IF(OR(COUNTIFS(Roster!$B$7:$B$26,Roster!$B13,Roster!CG$7:CG$26,"?*")&gt;Setup!$B$5,COUNTIF(Roster!CG$7:CG$26,"?*")&gt;Setup!$B$6),"CLASH","OK"))</f>
        <v/>
      </c>
      <c r="CH13" s="34" t="str">
        <f aca="false">IF(OR(Roster!$A13="",Roster!CH13=""),"",IF(OR(COUNTIFS(Roster!$B$7:$B$26,Roster!$B13,Roster!CH$7:CH$26,"?*")&gt;Setup!$B$5,COUNTIF(Roster!CH$7:CH$26,"?*")&gt;Setup!$B$6),"CLASH","OK"))</f>
        <v/>
      </c>
      <c r="CI13" s="34" t="str">
        <f aca="false">IF(OR(Roster!$A13="",Roster!CI13=""),"",IF(OR(COUNTIFS(Roster!$B$7:$B$26,Roster!$B13,Roster!CI$7:CI$26,"?*")&gt;Setup!$B$5,COUNTIF(Roster!CI$7:CI$26,"?*")&gt;Setup!$B$6),"CLASH","OK"))</f>
        <v/>
      </c>
      <c r="CJ13" s="34" t="str">
        <f aca="false">IF(OR(Roster!$A13="",Roster!CJ13=""),"",IF(OR(COUNTIFS(Roster!$B$7:$B$26,Roster!$B13,Roster!CJ$7:CJ$26,"?*")&gt;Setup!$B$5,COUNTIF(Roster!CJ$7:CJ$26,"?*")&gt;Setup!$B$6),"CLASH","OK"))</f>
        <v/>
      </c>
      <c r="CK13" s="34" t="str">
        <f aca="false">IF(OR(Roster!$A13="",Roster!CK13=""),"",IF(OR(COUNTIFS(Roster!$B$7:$B$26,Roster!$B13,Roster!CK$7:CK$26,"?*")&gt;Setup!$B$5,COUNTIF(Roster!CK$7:CK$26,"?*")&gt;Setup!$B$6),"CLASH","OK"))</f>
        <v/>
      </c>
      <c r="CL13" s="34" t="str">
        <f aca="false">IF(OR(Roster!$A13="",Roster!CL13=""),"",IF(OR(COUNTIFS(Roster!$B$7:$B$26,Roster!$B13,Roster!CL$7:CL$26,"?*")&gt;Setup!$B$5,COUNTIF(Roster!CL$7:CL$26,"?*")&gt;Setup!$B$6),"CLASH","OK"))</f>
        <v/>
      </c>
      <c r="CM13" s="34" t="str">
        <f aca="false">IF(OR(Roster!$A13="",Roster!CM13=""),"",IF(OR(COUNTIFS(Roster!$B$7:$B$26,Roster!$B13,Roster!CM$7:CM$26,"?*")&gt;Setup!$B$5,COUNTIF(Roster!CM$7:CM$26,"?*")&gt;Setup!$B$6),"CLASH","OK"))</f>
        <v/>
      </c>
      <c r="CN13" s="34" t="str">
        <f aca="false">IF(OR(Roster!$A13="",Roster!CN13=""),"",IF(OR(COUNTIFS(Roster!$B$7:$B$26,Roster!$B13,Roster!CN$7:CN$26,"?*")&gt;Setup!$B$5,COUNTIF(Roster!CN$7:CN$26,"?*")&gt;Setup!$B$6),"CLASH","OK"))</f>
        <v/>
      </c>
      <c r="CO13" s="34" t="str">
        <f aca="false">IF(OR(Roster!$A13="",Roster!CO13=""),"",IF(OR(COUNTIFS(Roster!$B$7:$B$26,Roster!$B13,Roster!CO$7:CO$26,"?*")&gt;Setup!$B$5,COUNTIF(Roster!CO$7:CO$26,"?*")&gt;Setup!$B$6),"CLASH","OK"))</f>
        <v/>
      </c>
      <c r="CP13" s="34" t="str">
        <f aca="false">IF(OR(Roster!$A13="",Roster!CP13=""),"",IF(OR(COUNTIFS(Roster!$B$7:$B$26,Roster!$B13,Roster!CP$7:CP$26,"?*")&gt;Setup!$B$5,COUNTIF(Roster!CP$7:CP$26,"?*")&gt;Setup!$B$6),"CLASH","OK"))</f>
        <v/>
      </c>
      <c r="CQ13" s="34" t="str">
        <f aca="false">IF(OR(Roster!$A13="",Roster!CQ13=""),"",IF(OR(COUNTIFS(Roster!$B$7:$B$26,Roster!$B13,Roster!CQ$7:CQ$26,"?*")&gt;Setup!$B$5,COUNTIF(Roster!CQ$7:CQ$26,"?*")&gt;Setup!$B$6),"CLASH","OK"))</f>
        <v/>
      </c>
      <c r="CR13" s="34" t="str">
        <f aca="false">IF(OR(Roster!$A13="",Roster!CR13=""),"",IF(OR(COUNTIFS(Roster!$B$7:$B$26,Roster!$B13,Roster!CR$7:CR$26,"?*")&gt;Setup!$B$5,COUNTIF(Roster!CR$7:CR$26,"?*")&gt;Setup!$B$6),"CLASH","OK"))</f>
        <v/>
      </c>
      <c r="CS13" s="34" t="str">
        <f aca="false">IF(OR(Roster!$A13="",Roster!CS13=""),"",IF(OR(COUNTIFS(Roster!$B$7:$B$26,Roster!$B13,Roster!CS$7:CS$26,"?*")&gt;Setup!$B$5,COUNTIF(Roster!CS$7:CS$26,"?*")&gt;Setup!$B$6),"CLASH","OK"))</f>
        <v/>
      </c>
      <c r="CT13" s="34" t="str">
        <f aca="false">IF(OR(Roster!$A13="",Roster!CT13=""),"",IF(OR(COUNTIFS(Roster!$B$7:$B$26,Roster!$B13,Roster!CT$7:CT$26,"?*")&gt;Setup!$B$5,COUNTIF(Roster!CT$7:CT$26,"?*")&gt;Setup!$B$6),"CLASH","OK"))</f>
        <v/>
      </c>
      <c r="CU13" s="34" t="str">
        <f aca="false">IF(OR(Roster!$A13="",Roster!CU13=""),"",IF(OR(COUNTIFS(Roster!$B$7:$B$26,Roster!$B13,Roster!CU$7:CU$26,"?*")&gt;Setup!$B$5,COUNTIF(Roster!CU$7:CU$26,"?*")&gt;Setup!$B$6),"CLASH","OK"))</f>
        <v/>
      </c>
    </row>
    <row r="14" customFormat="false" ht="15" hidden="false" customHeight="false" outlineLevel="0" collapsed="false">
      <c r="A14" s="33" t="str">
        <f aca="false">IF(Roster!A14="","",Roster!A14)</f>
        <v>Hassan Ali</v>
      </c>
      <c r="B14" s="33" t="str">
        <f aca="false">IF(Roster!A14="","",Roster!B14)</f>
        <v>Sales</v>
      </c>
      <c r="H14" s="34" t="str">
        <f aca="false">IF(OR(Roster!$A14="",Roster!H14=""),"",IF(OR(COUNTIFS(Roster!$B$7:$B$26,Roster!$B14,Roster!H$7:H$26,"?*")&gt;Setup!$B$5,COUNTIF(Roster!H$7:H$26,"?*")&gt;Setup!$B$6),"CLASH","OK"))</f>
        <v/>
      </c>
      <c r="I14" s="34" t="str">
        <f aca="false">IF(OR(Roster!$A14="",Roster!I14=""),"",IF(OR(COUNTIFS(Roster!$B$7:$B$26,Roster!$B14,Roster!I$7:I$26,"?*")&gt;Setup!$B$5,COUNTIF(Roster!I$7:I$26,"?*")&gt;Setup!$B$6),"CLASH","OK"))</f>
        <v/>
      </c>
      <c r="J14" s="34" t="str">
        <f aca="false">IF(OR(Roster!$A14="",Roster!J14=""),"",IF(OR(COUNTIFS(Roster!$B$7:$B$26,Roster!$B14,Roster!J$7:J$26,"?*")&gt;Setup!$B$5,COUNTIF(Roster!J$7:J$26,"?*")&gt;Setup!$B$6),"CLASH","OK"))</f>
        <v/>
      </c>
      <c r="K14" s="34" t="str">
        <f aca="false">IF(OR(Roster!$A14="",Roster!K14=""),"",IF(OR(COUNTIFS(Roster!$B$7:$B$26,Roster!$B14,Roster!K$7:K$26,"?*")&gt;Setup!$B$5,COUNTIF(Roster!K$7:K$26,"?*")&gt;Setup!$B$6),"CLASH","OK"))</f>
        <v/>
      </c>
      <c r="L14" s="34" t="str">
        <f aca="false">IF(OR(Roster!$A14="",Roster!L14=""),"",IF(OR(COUNTIFS(Roster!$B$7:$B$26,Roster!$B14,Roster!L$7:L$26,"?*")&gt;Setup!$B$5,COUNTIF(Roster!L$7:L$26,"?*")&gt;Setup!$B$6),"CLASH","OK"))</f>
        <v/>
      </c>
      <c r="M14" s="34" t="str">
        <f aca="false">IF(OR(Roster!$A14="",Roster!M14=""),"",IF(OR(COUNTIFS(Roster!$B$7:$B$26,Roster!$B14,Roster!M$7:M$26,"?*")&gt;Setup!$B$5,COUNTIF(Roster!M$7:M$26,"?*")&gt;Setup!$B$6),"CLASH","OK"))</f>
        <v/>
      </c>
      <c r="N14" s="34" t="str">
        <f aca="false">IF(OR(Roster!$A14="",Roster!N14=""),"",IF(OR(COUNTIFS(Roster!$B$7:$B$26,Roster!$B14,Roster!N$7:N$26,"?*")&gt;Setup!$B$5,COUNTIF(Roster!N$7:N$26,"?*")&gt;Setup!$B$6),"CLASH","OK"))</f>
        <v/>
      </c>
      <c r="O14" s="34" t="str">
        <f aca="false">IF(OR(Roster!$A14="",Roster!O14=""),"",IF(OR(COUNTIFS(Roster!$B$7:$B$26,Roster!$B14,Roster!O$7:O$26,"?*")&gt;Setup!$B$5,COUNTIF(Roster!O$7:O$26,"?*")&gt;Setup!$B$6),"CLASH","OK"))</f>
        <v/>
      </c>
      <c r="P14" s="34" t="str">
        <f aca="false">IF(OR(Roster!$A14="",Roster!P14=""),"",IF(OR(COUNTIFS(Roster!$B$7:$B$26,Roster!$B14,Roster!P$7:P$26,"?*")&gt;Setup!$B$5,COUNTIF(Roster!P$7:P$26,"?*")&gt;Setup!$B$6),"CLASH","OK"))</f>
        <v/>
      </c>
      <c r="Q14" s="34" t="str">
        <f aca="false">IF(OR(Roster!$A14="",Roster!Q14=""),"",IF(OR(COUNTIFS(Roster!$B$7:$B$26,Roster!$B14,Roster!Q$7:Q$26,"?*")&gt;Setup!$B$5,COUNTIF(Roster!Q$7:Q$26,"?*")&gt;Setup!$B$6),"CLASH","OK"))</f>
        <v/>
      </c>
      <c r="R14" s="34" t="str">
        <f aca="false">IF(OR(Roster!$A14="",Roster!R14=""),"",IF(OR(COUNTIFS(Roster!$B$7:$B$26,Roster!$B14,Roster!R$7:R$26,"?*")&gt;Setup!$B$5,COUNTIF(Roster!R$7:R$26,"?*")&gt;Setup!$B$6),"CLASH","OK"))</f>
        <v/>
      </c>
      <c r="S14" s="34" t="str">
        <f aca="false">IF(OR(Roster!$A14="",Roster!S14=""),"",IF(OR(COUNTIFS(Roster!$B$7:$B$26,Roster!$B14,Roster!S$7:S$26,"?*")&gt;Setup!$B$5,COUNTIF(Roster!S$7:S$26,"?*")&gt;Setup!$B$6),"CLASH","OK"))</f>
        <v/>
      </c>
      <c r="T14" s="34" t="str">
        <f aca="false">IF(OR(Roster!$A14="",Roster!T14=""),"",IF(OR(COUNTIFS(Roster!$B$7:$B$26,Roster!$B14,Roster!T$7:T$26,"?*")&gt;Setup!$B$5,COUNTIF(Roster!T$7:T$26,"?*")&gt;Setup!$B$6),"CLASH","OK"))</f>
        <v/>
      </c>
      <c r="U14" s="34" t="str">
        <f aca="false">IF(OR(Roster!$A14="",Roster!U14=""),"",IF(OR(COUNTIFS(Roster!$B$7:$B$26,Roster!$B14,Roster!U$7:U$26,"?*")&gt;Setup!$B$5,COUNTIF(Roster!U$7:U$26,"?*")&gt;Setup!$B$6),"CLASH","OK"))</f>
        <v/>
      </c>
      <c r="V14" s="34" t="str">
        <f aca="false">IF(OR(Roster!$A14="",Roster!V14=""),"",IF(OR(COUNTIFS(Roster!$B$7:$B$26,Roster!$B14,Roster!V$7:V$26,"?*")&gt;Setup!$B$5,COUNTIF(Roster!V$7:V$26,"?*")&gt;Setup!$B$6),"CLASH","OK"))</f>
        <v/>
      </c>
      <c r="W14" s="34" t="str">
        <f aca="false">IF(OR(Roster!$A14="",Roster!W14=""),"",IF(OR(COUNTIFS(Roster!$B$7:$B$26,Roster!$B14,Roster!W$7:W$26,"?*")&gt;Setup!$B$5,COUNTIF(Roster!W$7:W$26,"?*")&gt;Setup!$B$6),"CLASH","OK"))</f>
        <v/>
      </c>
      <c r="X14" s="34" t="str">
        <f aca="false">IF(OR(Roster!$A14="",Roster!X14=""),"",IF(OR(COUNTIFS(Roster!$B$7:$B$26,Roster!$B14,Roster!X$7:X$26,"?*")&gt;Setup!$B$5,COUNTIF(Roster!X$7:X$26,"?*")&gt;Setup!$B$6),"CLASH","OK"))</f>
        <v/>
      </c>
      <c r="Y14" s="34" t="str">
        <f aca="false">IF(OR(Roster!$A14="",Roster!Y14=""),"",IF(OR(COUNTIFS(Roster!$B$7:$B$26,Roster!$B14,Roster!Y$7:Y$26,"?*")&gt;Setup!$B$5,COUNTIF(Roster!Y$7:Y$26,"?*")&gt;Setup!$B$6),"CLASH","OK"))</f>
        <v/>
      </c>
      <c r="Z14" s="34" t="str">
        <f aca="false">IF(OR(Roster!$A14="",Roster!Z14=""),"",IF(OR(COUNTIFS(Roster!$B$7:$B$26,Roster!$B14,Roster!Z$7:Z$26,"?*")&gt;Setup!$B$5,COUNTIF(Roster!Z$7:Z$26,"?*")&gt;Setup!$B$6),"CLASH","OK"))</f>
        <v/>
      </c>
      <c r="AA14" s="34" t="str">
        <f aca="false">IF(OR(Roster!$A14="",Roster!AA14=""),"",IF(OR(COUNTIFS(Roster!$B$7:$B$26,Roster!$B14,Roster!AA$7:AA$26,"?*")&gt;Setup!$B$5,COUNTIF(Roster!AA$7:AA$26,"?*")&gt;Setup!$B$6),"CLASH","OK"))</f>
        <v/>
      </c>
      <c r="AB14" s="34" t="str">
        <f aca="false">IF(OR(Roster!$A14="",Roster!AB14=""),"",IF(OR(COUNTIFS(Roster!$B$7:$B$26,Roster!$B14,Roster!AB$7:AB$26,"?*")&gt;Setup!$B$5,COUNTIF(Roster!AB$7:AB$26,"?*")&gt;Setup!$B$6),"CLASH","OK"))</f>
        <v/>
      </c>
      <c r="AC14" s="34" t="str">
        <f aca="false">IF(OR(Roster!$A14="",Roster!AC14=""),"",IF(OR(COUNTIFS(Roster!$B$7:$B$26,Roster!$B14,Roster!AC$7:AC$26,"?*")&gt;Setup!$B$5,COUNTIF(Roster!AC$7:AC$26,"?*")&gt;Setup!$B$6),"CLASH","OK"))</f>
        <v/>
      </c>
      <c r="AD14" s="34" t="str">
        <f aca="false">IF(OR(Roster!$A14="",Roster!AD14=""),"",IF(OR(COUNTIFS(Roster!$B$7:$B$26,Roster!$B14,Roster!AD$7:AD$26,"?*")&gt;Setup!$B$5,COUNTIF(Roster!AD$7:AD$26,"?*")&gt;Setup!$B$6),"CLASH","OK"))</f>
        <v/>
      </c>
      <c r="AE14" s="34" t="str">
        <f aca="false">IF(OR(Roster!$A14="",Roster!AE14=""),"",IF(OR(COUNTIFS(Roster!$B$7:$B$26,Roster!$B14,Roster!AE$7:AE$26,"?*")&gt;Setup!$B$5,COUNTIF(Roster!AE$7:AE$26,"?*")&gt;Setup!$B$6),"CLASH","OK"))</f>
        <v/>
      </c>
      <c r="AF14" s="34" t="str">
        <f aca="false">IF(OR(Roster!$A14="",Roster!AF14=""),"",IF(OR(COUNTIFS(Roster!$B$7:$B$26,Roster!$B14,Roster!AF$7:AF$26,"?*")&gt;Setup!$B$5,COUNTIF(Roster!AF$7:AF$26,"?*")&gt;Setup!$B$6),"CLASH","OK"))</f>
        <v/>
      </c>
      <c r="AG14" s="34" t="str">
        <f aca="false">IF(OR(Roster!$A14="",Roster!AG14=""),"",IF(OR(COUNTIFS(Roster!$B$7:$B$26,Roster!$B14,Roster!AG$7:AG$26,"?*")&gt;Setup!$B$5,COUNTIF(Roster!AG$7:AG$26,"?*")&gt;Setup!$B$6),"CLASH","OK"))</f>
        <v/>
      </c>
      <c r="AH14" s="34" t="str">
        <f aca="false">IF(OR(Roster!$A14="",Roster!AH14=""),"",IF(OR(COUNTIFS(Roster!$B$7:$B$26,Roster!$B14,Roster!AH$7:AH$26,"?*")&gt;Setup!$B$5,COUNTIF(Roster!AH$7:AH$26,"?*")&gt;Setup!$B$6),"CLASH","OK"))</f>
        <v/>
      </c>
      <c r="AI14" s="34" t="str">
        <f aca="false">IF(OR(Roster!$A14="",Roster!AI14=""),"",IF(OR(COUNTIFS(Roster!$B$7:$B$26,Roster!$B14,Roster!AI$7:AI$26,"?*")&gt;Setup!$B$5,COUNTIF(Roster!AI$7:AI$26,"?*")&gt;Setup!$B$6),"CLASH","OK"))</f>
        <v/>
      </c>
      <c r="AJ14" s="34" t="str">
        <f aca="false">IF(OR(Roster!$A14="",Roster!AJ14=""),"",IF(OR(COUNTIFS(Roster!$B$7:$B$26,Roster!$B14,Roster!AJ$7:AJ$26,"?*")&gt;Setup!$B$5,COUNTIF(Roster!AJ$7:AJ$26,"?*")&gt;Setup!$B$6),"CLASH","OK"))</f>
        <v/>
      </c>
      <c r="AK14" s="34" t="str">
        <f aca="false">IF(OR(Roster!$A14="",Roster!AK14=""),"",IF(OR(COUNTIFS(Roster!$B$7:$B$26,Roster!$B14,Roster!AK$7:AK$26,"?*")&gt;Setup!$B$5,COUNTIF(Roster!AK$7:AK$26,"?*")&gt;Setup!$B$6),"CLASH","OK"))</f>
        <v/>
      </c>
      <c r="AL14" s="34" t="str">
        <f aca="false">IF(OR(Roster!$A14="",Roster!AL14=""),"",IF(OR(COUNTIFS(Roster!$B$7:$B$26,Roster!$B14,Roster!AL$7:AL$26,"?*")&gt;Setup!$B$5,COUNTIF(Roster!AL$7:AL$26,"?*")&gt;Setup!$B$6),"CLASH","OK"))</f>
        <v/>
      </c>
      <c r="AM14" s="34" t="str">
        <f aca="false">IF(OR(Roster!$A14="",Roster!AM14=""),"",IF(OR(COUNTIFS(Roster!$B$7:$B$26,Roster!$B14,Roster!AM$7:AM$26,"?*")&gt;Setup!$B$5,COUNTIF(Roster!AM$7:AM$26,"?*")&gt;Setup!$B$6),"CLASH","OK"))</f>
        <v/>
      </c>
      <c r="AN14" s="34" t="str">
        <f aca="false">IF(OR(Roster!$A14="",Roster!AN14=""),"",IF(OR(COUNTIFS(Roster!$B$7:$B$26,Roster!$B14,Roster!AN$7:AN$26,"?*")&gt;Setup!$B$5,COUNTIF(Roster!AN$7:AN$26,"?*")&gt;Setup!$B$6),"CLASH","OK"))</f>
        <v/>
      </c>
      <c r="AO14" s="34" t="str">
        <f aca="false">IF(OR(Roster!$A14="",Roster!AO14=""),"",IF(OR(COUNTIFS(Roster!$B$7:$B$26,Roster!$B14,Roster!AO$7:AO$26,"?*")&gt;Setup!$B$5,COUNTIF(Roster!AO$7:AO$26,"?*")&gt;Setup!$B$6),"CLASH","OK"))</f>
        <v/>
      </c>
      <c r="AP14" s="34" t="str">
        <f aca="false">IF(OR(Roster!$A14="",Roster!AP14=""),"",IF(OR(COUNTIFS(Roster!$B$7:$B$26,Roster!$B14,Roster!AP$7:AP$26,"?*")&gt;Setup!$B$5,COUNTIF(Roster!AP$7:AP$26,"?*")&gt;Setup!$B$6),"CLASH","OK"))</f>
        <v/>
      </c>
      <c r="AQ14" s="34" t="str">
        <f aca="false">IF(OR(Roster!$A14="",Roster!AQ14=""),"",IF(OR(COUNTIFS(Roster!$B$7:$B$26,Roster!$B14,Roster!AQ$7:AQ$26,"?*")&gt;Setup!$B$5,COUNTIF(Roster!AQ$7:AQ$26,"?*")&gt;Setup!$B$6),"CLASH","OK"))</f>
        <v/>
      </c>
      <c r="AR14" s="34" t="str">
        <f aca="false">IF(OR(Roster!$A14="",Roster!AR14=""),"",IF(OR(COUNTIFS(Roster!$B$7:$B$26,Roster!$B14,Roster!AR$7:AR$26,"?*")&gt;Setup!$B$5,COUNTIF(Roster!AR$7:AR$26,"?*")&gt;Setup!$B$6),"CLASH","OK"))</f>
        <v/>
      </c>
      <c r="AS14" s="34" t="str">
        <f aca="false">IF(OR(Roster!$A14="",Roster!AS14=""),"",IF(OR(COUNTIFS(Roster!$B$7:$B$26,Roster!$B14,Roster!AS$7:AS$26,"?*")&gt;Setup!$B$5,COUNTIF(Roster!AS$7:AS$26,"?*")&gt;Setup!$B$6),"CLASH","OK"))</f>
        <v/>
      </c>
      <c r="AT14" s="34" t="str">
        <f aca="false">IF(OR(Roster!$A14="",Roster!AT14=""),"",IF(OR(COUNTIFS(Roster!$B$7:$B$26,Roster!$B14,Roster!AT$7:AT$26,"?*")&gt;Setup!$B$5,COUNTIF(Roster!AT$7:AT$26,"?*")&gt;Setup!$B$6),"CLASH","OK"))</f>
        <v/>
      </c>
      <c r="AU14" s="34" t="str">
        <f aca="false">IF(OR(Roster!$A14="",Roster!AU14=""),"",IF(OR(COUNTIFS(Roster!$B$7:$B$26,Roster!$B14,Roster!AU$7:AU$26,"?*")&gt;Setup!$B$5,COUNTIF(Roster!AU$7:AU$26,"?*")&gt;Setup!$B$6),"CLASH","OK"))</f>
        <v/>
      </c>
      <c r="AV14" s="34" t="str">
        <f aca="false">IF(OR(Roster!$A14="",Roster!AV14=""),"",IF(OR(COUNTIFS(Roster!$B$7:$B$26,Roster!$B14,Roster!AV$7:AV$26,"?*")&gt;Setup!$B$5,COUNTIF(Roster!AV$7:AV$26,"?*")&gt;Setup!$B$6),"CLASH","OK"))</f>
        <v/>
      </c>
      <c r="AW14" s="34" t="str">
        <f aca="false">IF(OR(Roster!$A14="",Roster!AW14=""),"",IF(OR(COUNTIFS(Roster!$B$7:$B$26,Roster!$B14,Roster!AW$7:AW$26,"?*")&gt;Setup!$B$5,COUNTIF(Roster!AW$7:AW$26,"?*")&gt;Setup!$B$6),"CLASH","OK"))</f>
        <v/>
      </c>
      <c r="AX14" s="34" t="str">
        <f aca="false">IF(OR(Roster!$A14="",Roster!AX14=""),"",IF(OR(COUNTIFS(Roster!$B$7:$B$26,Roster!$B14,Roster!AX$7:AX$26,"?*")&gt;Setup!$B$5,COUNTIF(Roster!AX$7:AX$26,"?*")&gt;Setup!$B$6),"CLASH","OK"))</f>
        <v/>
      </c>
      <c r="AY14" s="34" t="str">
        <f aca="false">IF(OR(Roster!$A14="",Roster!AY14=""),"",IF(OR(COUNTIFS(Roster!$B$7:$B$26,Roster!$B14,Roster!AY$7:AY$26,"?*")&gt;Setup!$B$5,COUNTIF(Roster!AY$7:AY$26,"?*")&gt;Setup!$B$6),"CLASH","OK"))</f>
        <v/>
      </c>
      <c r="AZ14" s="34" t="str">
        <f aca="false">IF(OR(Roster!$A14="",Roster!AZ14=""),"",IF(OR(COUNTIFS(Roster!$B$7:$B$26,Roster!$B14,Roster!AZ$7:AZ$26,"?*")&gt;Setup!$B$5,COUNTIF(Roster!AZ$7:AZ$26,"?*")&gt;Setup!$B$6),"CLASH","OK"))</f>
        <v/>
      </c>
      <c r="BA14" s="34" t="str">
        <f aca="false">IF(OR(Roster!$A14="",Roster!BA14=""),"",IF(OR(COUNTIFS(Roster!$B$7:$B$26,Roster!$B14,Roster!BA$7:BA$26,"?*")&gt;Setup!$B$5,COUNTIF(Roster!BA$7:BA$26,"?*")&gt;Setup!$B$6),"CLASH","OK"))</f>
        <v/>
      </c>
      <c r="BB14" s="34" t="str">
        <f aca="false">IF(OR(Roster!$A14="",Roster!BB14=""),"",IF(OR(COUNTIFS(Roster!$B$7:$B$26,Roster!$B14,Roster!BB$7:BB$26,"?*")&gt;Setup!$B$5,COUNTIF(Roster!BB$7:BB$26,"?*")&gt;Setup!$B$6),"CLASH","OK"))</f>
        <v>OK</v>
      </c>
      <c r="BC14" s="34" t="str">
        <f aca="false">IF(OR(Roster!$A14="",Roster!BC14=""),"",IF(OR(COUNTIFS(Roster!$B$7:$B$26,Roster!$B14,Roster!BC$7:BC$26,"?*")&gt;Setup!$B$5,COUNTIF(Roster!BC$7:BC$26,"?*")&gt;Setup!$B$6),"CLASH","OK"))</f>
        <v>OK</v>
      </c>
      <c r="BD14" s="34" t="str">
        <f aca="false">IF(OR(Roster!$A14="",Roster!BD14=""),"",IF(OR(COUNTIFS(Roster!$B$7:$B$26,Roster!$B14,Roster!BD$7:BD$26,"?*")&gt;Setup!$B$5,COUNTIF(Roster!BD$7:BD$26,"?*")&gt;Setup!$B$6),"CLASH","OK"))</f>
        <v>OK</v>
      </c>
      <c r="BE14" s="34" t="str">
        <f aca="false">IF(OR(Roster!$A14="",Roster!BE14=""),"",IF(OR(COUNTIFS(Roster!$B$7:$B$26,Roster!$B14,Roster!BE$7:BE$26,"?*")&gt;Setup!$B$5,COUNTIF(Roster!BE$7:BE$26,"?*")&gt;Setup!$B$6),"CLASH","OK"))</f>
        <v>OK</v>
      </c>
      <c r="BF14" s="34" t="str">
        <f aca="false">IF(OR(Roster!$A14="",Roster!BF14=""),"",IF(OR(COUNTIFS(Roster!$B$7:$B$26,Roster!$B14,Roster!BF$7:BF$26,"?*")&gt;Setup!$B$5,COUNTIF(Roster!BF$7:BF$26,"?*")&gt;Setup!$B$6),"CLASH","OK"))</f>
        <v>OK</v>
      </c>
      <c r="BG14" s="34" t="str">
        <f aca="false">IF(OR(Roster!$A14="",Roster!BG14=""),"",IF(OR(COUNTIFS(Roster!$B$7:$B$26,Roster!$B14,Roster!BG$7:BG$26,"?*")&gt;Setup!$B$5,COUNTIF(Roster!BG$7:BG$26,"?*")&gt;Setup!$B$6),"CLASH","OK"))</f>
        <v/>
      </c>
      <c r="BH14" s="34" t="str">
        <f aca="false">IF(OR(Roster!$A14="",Roster!BH14=""),"",IF(OR(COUNTIFS(Roster!$B$7:$B$26,Roster!$B14,Roster!BH$7:BH$26,"?*")&gt;Setup!$B$5,COUNTIF(Roster!BH$7:BH$26,"?*")&gt;Setup!$B$6),"CLASH","OK"))</f>
        <v/>
      </c>
      <c r="BI14" s="34" t="str">
        <f aca="false">IF(OR(Roster!$A14="",Roster!BI14=""),"",IF(OR(COUNTIFS(Roster!$B$7:$B$26,Roster!$B14,Roster!BI$7:BI$26,"?*")&gt;Setup!$B$5,COUNTIF(Roster!BI$7:BI$26,"?*")&gt;Setup!$B$6),"CLASH","OK"))</f>
        <v/>
      </c>
      <c r="BJ14" s="34" t="str">
        <f aca="false">IF(OR(Roster!$A14="",Roster!BJ14=""),"",IF(OR(COUNTIFS(Roster!$B$7:$B$26,Roster!$B14,Roster!BJ$7:BJ$26,"?*")&gt;Setup!$B$5,COUNTIF(Roster!BJ$7:BJ$26,"?*")&gt;Setup!$B$6),"CLASH","OK"))</f>
        <v/>
      </c>
      <c r="BK14" s="34" t="str">
        <f aca="false">IF(OR(Roster!$A14="",Roster!BK14=""),"",IF(OR(COUNTIFS(Roster!$B$7:$B$26,Roster!$B14,Roster!BK$7:BK$26,"?*")&gt;Setup!$B$5,COUNTIF(Roster!BK$7:BK$26,"?*")&gt;Setup!$B$6),"CLASH","OK"))</f>
        <v/>
      </c>
      <c r="BL14" s="34" t="str">
        <f aca="false">IF(OR(Roster!$A14="",Roster!BL14=""),"",IF(OR(COUNTIFS(Roster!$B$7:$B$26,Roster!$B14,Roster!BL$7:BL$26,"?*")&gt;Setup!$B$5,COUNTIF(Roster!BL$7:BL$26,"?*")&gt;Setup!$B$6),"CLASH","OK"))</f>
        <v/>
      </c>
      <c r="BM14" s="34" t="str">
        <f aca="false">IF(OR(Roster!$A14="",Roster!BM14=""),"",IF(OR(COUNTIFS(Roster!$B$7:$B$26,Roster!$B14,Roster!BM$7:BM$26,"?*")&gt;Setup!$B$5,COUNTIF(Roster!BM$7:BM$26,"?*")&gt;Setup!$B$6),"CLASH","OK"))</f>
        <v/>
      </c>
      <c r="BN14" s="34" t="str">
        <f aca="false">IF(OR(Roster!$A14="",Roster!BN14=""),"",IF(OR(COUNTIFS(Roster!$B$7:$B$26,Roster!$B14,Roster!BN$7:BN$26,"?*")&gt;Setup!$B$5,COUNTIF(Roster!BN$7:BN$26,"?*")&gt;Setup!$B$6),"CLASH","OK"))</f>
        <v/>
      </c>
      <c r="BO14" s="34" t="str">
        <f aca="false">IF(OR(Roster!$A14="",Roster!BO14=""),"",IF(OR(COUNTIFS(Roster!$B$7:$B$26,Roster!$B14,Roster!BO$7:BO$26,"?*")&gt;Setup!$B$5,COUNTIF(Roster!BO$7:BO$26,"?*")&gt;Setup!$B$6),"CLASH","OK"))</f>
        <v/>
      </c>
      <c r="BP14" s="34" t="str">
        <f aca="false">IF(OR(Roster!$A14="",Roster!BP14=""),"",IF(OR(COUNTIFS(Roster!$B$7:$B$26,Roster!$B14,Roster!BP$7:BP$26,"?*")&gt;Setup!$B$5,COUNTIF(Roster!BP$7:BP$26,"?*")&gt;Setup!$B$6),"CLASH","OK"))</f>
        <v/>
      </c>
      <c r="BQ14" s="34" t="str">
        <f aca="false">IF(OR(Roster!$A14="",Roster!BQ14=""),"",IF(OR(COUNTIFS(Roster!$B$7:$B$26,Roster!$B14,Roster!BQ$7:BQ$26,"?*")&gt;Setup!$B$5,COUNTIF(Roster!BQ$7:BQ$26,"?*")&gt;Setup!$B$6),"CLASH","OK"))</f>
        <v/>
      </c>
      <c r="BR14" s="34" t="str">
        <f aca="false">IF(OR(Roster!$A14="",Roster!BR14=""),"",IF(OR(COUNTIFS(Roster!$B$7:$B$26,Roster!$B14,Roster!BR$7:BR$26,"?*")&gt;Setup!$B$5,COUNTIF(Roster!BR$7:BR$26,"?*")&gt;Setup!$B$6),"CLASH","OK"))</f>
        <v/>
      </c>
      <c r="BS14" s="34" t="str">
        <f aca="false">IF(OR(Roster!$A14="",Roster!BS14=""),"",IF(OR(COUNTIFS(Roster!$B$7:$B$26,Roster!$B14,Roster!BS$7:BS$26,"?*")&gt;Setup!$B$5,COUNTIF(Roster!BS$7:BS$26,"?*")&gt;Setup!$B$6),"CLASH","OK"))</f>
        <v/>
      </c>
      <c r="BT14" s="34" t="str">
        <f aca="false">IF(OR(Roster!$A14="",Roster!BT14=""),"",IF(OR(COUNTIFS(Roster!$B$7:$B$26,Roster!$B14,Roster!BT$7:BT$26,"?*")&gt;Setup!$B$5,COUNTIF(Roster!BT$7:BT$26,"?*")&gt;Setup!$B$6),"CLASH","OK"))</f>
        <v/>
      </c>
      <c r="BU14" s="34" t="str">
        <f aca="false">IF(OR(Roster!$A14="",Roster!BU14=""),"",IF(OR(COUNTIFS(Roster!$B$7:$B$26,Roster!$B14,Roster!BU$7:BU$26,"?*")&gt;Setup!$B$5,COUNTIF(Roster!BU$7:BU$26,"?*")&gt;Setup!$B$6),"CLASH","OK"))</f>
        <v/>
      </c>
      <c r="BV14" s="34" t="str">
        <f aca="false">IF(OR(Roster!$A14="",Roster!BV14=""),"",IF(OR(COUNTIFS(Roster!$B$7:$B$26,Roster!$B14,Roster!BV$7:BV$26,"?*")&gt;Setup!$B$5,COUNTIF(Roster!BV$7:BV$26,"?*")&gt;Setup!$B$6),"CLASH","OK"))</f>
        <v/>
      </c>
      <c r="BW14" s="34" t="str">
        <f aca="false">IF(OR(Roster!$A14="",Roster!BW14=""),"",IF(OR(COUNTIFS(Roster!$B$7:$B$26,Roster!$B14,Roster!BW$7:BW$26,"?*")&gt;Setup!$B$5,COUNTIF(Roster!BW$7:BW$26,"?*")&gt;Setup!$B$6),"CLASH","OK"))</f>
        <v/>
      </c>
      <c r="BX14" s="34" t="str">
        <f aca="false">IF(OR(Roster!$A14="",Roster!BX14=""),"",IF(OR(COUNTIFS(Roster!$B$7:$B$26,Roster!$B14,Roster!BX$7:BX$26,"?*")&gt;Setup!$B$5,COUNTIF(Roster!BX$7:BX$26,"?*")&gt;Setup!$B$6),"CLASH","OK"))</f>
        <v/>
      </c>
      <c r="BY14" s="34" t="str">
        <f aca="false">IF(OR(Roster!$A14="",Roster!BY14=""),"",IF(OR(COUNTIFS(Roster!$B$7:$B$26,Roster!$B14,Roster!BY$7:BY$26,"?*")&gt;Setup!$B$5,COUNTIF(Roster!BY$7:BY$26,"?*")&gt;Setup!$B$6),"CLASH","OK"))</f>
        <v/>
      </c>
      <c r="BZ14" s="34" t="str">
        <f aca="false">IF(OR(Roster!$A14="",Roster!BZ14=""),"",IF(OR(COUNTIFS(Roster!$B$7:$B$26,Roster!$B14,Roster!BZ$7:BZ$26,"?*")&gt;Setup!$B$5,COUNTIF(Roster!BZ$7:BZ$26,"?*")&gt;Setup!$B$6),"CLASH","OK"))</f>
        <v/>
      </c>
      <c r="CA14" s="34" t="str">
        <f aca="false">IF(OR(Roster!$A14="",Roster!CA14=""),"",IF(OR(COUNTIFS(Roster!$B$7:$B$26,Roster!$B14,Roster!CA$7:CA$26,"?*")&gt;Setup!$B$5,COUNTIF(Roster!CA$7:CA$26,"?*")&gt;Setup!$B$6),"CLASH","OK"))</f>
        <v/>
      </c>
      <c r="CB14" s="34" t="str">
        <f aca="false">IF(OR(Roster!$A14="",Roster!CB14=""),"",IF(OR(COUNTIFS(Roster!$B$7:$B$26,Roster!$B14,Roster!CB$7:CB$26,"?*")&gt;Setup!$B$5,COUNTIF(Roster!CB$7:CB$26,"?*")&gt;Setup!$B$6),"CLASH","OK"))</f>
        <v/>
      </c>
      <c r="CC14" s="34" t="str">
        <f aca="false">IF(OR(Roster!$A14="",Roster!CC14=""),"",IF(OR(COUNTIFS(Roster!$B$7:$B$26,Roster!$B14,Roster!CC$7:CC$26,"?*")&gt;Setup!$B$5,COUNTIF(Roster!CC$7:CC$26,"?*")&gt;Setup!$B$6),"CLASH","OK"))</f>
        <v/>
      </c>
      <c r="CD14" s="34" t="str">
        <f aca="false">IF(OR(Roster!$A14="",Roster!CD14=""),"",IF(OR(COUNTIFS(Roster!$B$7:$B$26,Roster!$B14,Roster!CD$7:CD$26,"?*")&gt;Setup!$B$5,COUNTIF(Roster!CD$7:CD$26,"?*")&gt;Setup!$B$6),"CLASH","OK"))</f>
        <v/>
      </c>
      <c r="CE14" s="34" t="str">
        <f aca="false">IF(OR(Roster!$A14="",Roster!CE14=""),"",IF(OR(COUNTIFS(Roster!$B$7:$B$26,Roster!$B14,Roster!CE$7:CE$26,"?*")&gt;Setup!$B$5,COUNTIF(Roster!CE$7:CE$26,"?*")&gt;Setup!$B$6),"CLASH","OK"))</f>
        <v/>
      </c>
      <c r="CF14" s="34" t="str">
        <f aca="false">IF(OR(Roster!$A14="",Roster!CF14=""),"",IF(OR(COUNTIFS(Roster!$B$7:$B$26,Roster!$B14,Roster!CF$7:CF$26,"?*")&gt;Setup!$B$5,COUNTIF(Roster!CF$7:CF$26,"?*")&gt;Setup!$B$6),"CLASH","OK"))</f>
        <v/>
      </c>
      <c r="CG14" s="34" t="str">
        <f aca="false">IF(OR(Roster!$A14="",Roster!CG14=""),"",IF(OR(COUNTIFS(Roster!$B$7:$B$26,Roster!$B14,Roster!CG$7:CG$26,"?*")&gt;Setup!$B$5,COUNTIF(Roster!CG$7:CG$26,"?*")&gt;Setup!$B$6),"CLASH","OK"))</f>
        <v/>
      </c>
      <c r="CH14" s="34" t="str">
        <f aca="false">IF(OR(Roster!$A14="",Roster!CH14=""),"",IF(OR(COUNTIFS(Roster!$B$7:$B$26,Roster!$B14,Roster!CH$7:CH$26,"?*")&gt;Setup!$B$5,COUNTIF(Roster!CH$7:CH$26,"?*")&gt;Setup!$B$6),"CLASH","OK"))</f>
        <v/>
      </c>
      <c r="CI14" s="34" t="str">
        <f aca="false">IF(OR(Roster!$A14="",Roster!CI14=""),"",IF(OR(COUNTIFS(Roster!$B$7:$B$26,Roster!$B14,Roster!CI$7:CI$26,"?*")&gt;Setup!$B$5,COUNTIF(Roster!CI$7:CI$26,"?*")&gt;Setup!$B$6),"CLASH","OK"))</f>
        <v/>
      </c>
      <c r="CJ14" s="34" t="str">
        <f aca="false">IF(OR(Roster!$A14="",Roster!CJ14=""),"",IF(OR(COUNTIFS(Roster!$B$7:$B$26,Roster!$B14,Roster!CJ$7:CJ$26,"?*")&gt;Setup!$B$5,COUNTIF(Roster!CJ$7:CJ$26,"?*")&gt;Setup!$B$6),"CLASH","OK"))</f>
        <v/>
      </c>
      <c r="CK14" s="34" t="str">
        <f aca="false">IF(OR(Roster!$A14="",Roster!CK14=""),"",IF(OR(COUNTIFS(Roster!$B$7:$B$26,Roster!$B14,Roster!CK$7:CK$26,"?*")&gt;Setup!$B$5,COUNTIF(Roster!CK$7:CK$26,"?*")&gt;Setup!$B$6),"CLASH","OK"))</f>
        <v/>
      </c>
      <c r="CL14" s="34" t="str">
        <f aca="false">IF(OR(Roster!$A14="",Roster!CL14=""),"",IF(OR(COUNTIFS(Roster!$B$7:$B$26,Roster!$B14,Roster!CL$7:CL$26,"?*")&gt;Setup!$B$5,COUNTIF(Roster!CL$7:CL$26,"?*")&gt;Setup!$B$6),"CLASH","OK"))</f>
        <v/>
      </c>
      <c r="CM14" s="34" t="str">
        <f aca="false">IF(OR(Roster!$A14="",Roster!CM14=""),"",IF(OR(COUNTIFS(Roster!$B$7:$B$26,Roster!$B14,Roster!CM$7:CM$26,"?*")&gt;Setup!$B$5,COUNTIF(Roster!CM$7:CM$26,"?*")&gt;Setup!$B$6),"CLASH","OK"))</f>
        <v/>
      </c>
      <c r="CN14" s="34" t="str">
        <f aca="false">IF(OR(Roster!$A14="",Roster!CN14=""),"",IF(OR(COUNTIFS(Roster!$B$7:$B$26,Roster!$B14,Roster!CN$7:CN$26,"?*")&gt;Setup!$B$5,COUNTIF(Roster!CN$7:CN$26,"?*")&gt;Setup!$B$6),"CLASH","OK"))</f>
        <v/>
      </c>
      <c r="CO14" s="34" t="str">
        <f aca="false">IF(OR(Roster!$A14="",Roster!CO14=""),"",IF(OR(COUNTIFS(Roster!$B$7:$B$26,Roster!$B14,Roster!CO$7:CO$26,"?*")&gt;Setup!$B$5,COUNTIF(Roster!CO$7:CO$26,"?*")&gt;Setup!$B$6),"CLASH","OK"))</f>
        <v/>
      </c>
      <c r="CP14" s="34" t="str">
        <f aca="false">IF(OR(Roster!$A14="",Roster!CP14=""),"",IF(OR(COUNTIFS(Roster!$B$7:$B$26,Roster!$B14,Roster!CP$7:CP$26,"?*")&gt;Setup!$B$5,COUNTIF(Roster!CP$7:CP$26,"?*")&gt;Setup!$B$6),"CLASH","OK"))</f>
        <v/>
      </c>
      <c r="CQ14" s="34" t="str">
        <f aca="false">IF(OR(Roster!$A14="",Roster!CQ14=""),"",IF(OR(COUNTIFS(Roster!$B$7:$B$26,Roster!$B14,Roster!CQ$7:CQ$26,"?*")&gt;Setup!$B$5,COUNTIF(Roster!CQ$7:CQ$26,"?*")&gt;Setup!$B$6),"CLASH","OK"))</f>
        <v/>
      </c>
      <c r="CR14" s="34" t="str">
        <f aca="false">IF(OR(Roster!$A14="",Roster!CR14=""),"",IF(OR(COUNTIFS(Roster!$B$7:$B$26,Roster!$B14,Roster!CR$7:CR$26,"?*")&gt;Setup!$B$5,COUNTIF(Roster!CR$7:CR$26,"?*")&gt;Setup!$B$6),"CLASH","OK"))</f>
        <v/>
      </c>
      <c r="CS14" s="34" t="str">
        <f aca="false">IF(OR(Roster!$A14="",Roster!CS14=""),"",IF(OR(COUNTIFS(Roster!$B$7:$B$26,Roster!$B14,Roster!CS$7:CS$26,"?*")&gt;Setup!$B$5,COUNTIF(Roster!CS$7:CS$26,"?*")&gt;Setup!$B$6),"CLASH","OK"))</f>
        <v/>
      </c>
      <c r="CT14" s="34" t="str">
        <f aca="false">IF(OR(Roster!$A14="",Roster!CT14=""),"",IF(OR(COUNTIFS(Roster!$B$7:$B$26,Roster!$B14,Roster!CT$7:CT$26,"?*")&gt;Setup!$B$5,COUNTIF(Roster!CT$7:CT$26,"?*")&gt;Setup!$B$6),"CLASH","OK"))</f>
        <v/>
      </c>
      <c r="CU14" s="34" t="str">
        <f aca="false">IF(OR(Roster!$A14="",Roster!CU14=""),"",IF(OR(COUNTIFS(Roster!$B$7:$B$26,Roster!$B14,Roster!CU$7:CU$26,"?*")&gt;Setup!$B$5,COUNTIF(Roster!CU$7:CU$26,"?*")&gt;Setup!$B$6),"CLASH","OK"))</f>
        <v/>
      </c>
    </row>
    <row r="15" customFormat="false" ht="15" hidden="false" customHeight="false" outlineLevel="0" collapsed="false">
      <c r="A15" s="33" t="str">
        <f aca="false">IF(Roster!A15="","",Roster!A15)</f>
        <v>Ifeoma Nnadi</v>
      </c>
      <c r="B15" s="33" t="str">
        <f aca="false">IF(Roster!A15="","",Roster!B15)</f>
        <v>Sales</v>
      </c>
      <c r="H15" s="34" t="str">
        <f aca="false">IF(OR(Roster!$A15="",Roster!H15=""),"",IF(OR(COUNTIFS(Roster!$B$7:$B$26,Roster!$B15,Roster!H$7:H$26,"?*")&gt;Setup!$B$5,COUNTIF(Roster!H$7:H$26,"?*")&gt;Setup!$B$6),"CLASH","OK"))</f>
        <v/>
      </c>
      <c r="I15" s="34" t="str">
        <f aca="false">IF(OR(Roster!$A15="",Roster!I15=""),"",IF(OR(COUNTIFS(Roster!$B$7:$B$26,Roster!$B15,Roster!I$7:I$26,"?*")&gt;Setup!$B$5,COUNTIF(Roster!I$7:I$26,"?*")&gt;Setup!$B$6),"CLASH","OK"))</f>
        <v/>
      </c>
      <c r="J15" s="34" t="str">
        <f aca="false">IF(OR(Roster!$A15="",Roster!J15=""),"",IF(OR(COUNTIFS(Roster!$B$7:$B$26,Roster!$B15,Roster!J$7:J$26,"?*")&gt;Setup!$B$5,COUNTIF(Roster!J$7:J$26,"?*")&gt;Setup!$B$6),"CLASH","OK"))</f>
        <v/>
      </c>
      <c r="K15" s="34" t="str">
        <f aca="false">IF(OR(Roster!$A15="",Roster!K15=""),"",IF(OR(COUNTIFS(Roster!$B$7:$B$26,Roster!$B15,Roster!K$7:K$26,"?*")&gt;Setup!$B$5,COUNTIF(Roster!K$7:K$26,"?*")&gt;Setup!$B$6),"CLASH","OK"))</f>
        <v/>
      </c>
      <c r="L15" s="34" t="str">
        <f aca="false">IF(OR(Roster!$A15="",Roster!L15=""),"",IF(OR(COUNTIFS(Roster!$B$7:$B$26,Roster!$B15,Roster!L$7:L$26,"?*")&gt;Setup!$B$5,COUNTIF(Roster!L$7:L$26,"?*")&gt;Setup!$B$6),"CLASH","OK"))</f>
        <v/>
      </c>
      <c r="M15" s="34" t="str">
        <f aca="false">IF(OR(Roster!$A15="",Roster!M15=""),"",IF(OR(COUNTIFS(Roster!$B$7:$B$26,Roster!$B15,Roster!M$7:M$26,"?*")&gt;Setup!$B$5,COUNTIF(Roster!M$7:M$26,"?*")&gt;Setup!$B$6),"CLASH","OK"))</f>
        <v/>
      </c>
      <c r="N15" s="34" t="str">
        <f aca="false">IF(OR(Roster!$A15="",Roster!N15=""),"",IF(OR(COUNTIFS(Roster!$B$7:$B$26,Roster!$B15,Roster!N$7:N$26,"?*")&gt;Setup!$B$5,COUNTIF(Roster!N$7:N$26,"?*")&gt;Setup!$B$6),"CLASH","OK"))</f>
        <v/>
      </c>
      <c r="O15" s="34" t="str">
        <f aca="false">IF(OR(Roster!$A15="",Roster!O15=""),"",IF(OR(COUNTIFS(Roster!$B$7:$B$26,Roster!$B15,Roster!O$7:O$26,"?*")&gt;Setup!$B$5,COUNTIF(Roster!O$7:O$26,"?*")&gt;Setup!$B$6),"CLASH","OK"))</f>
        <v/>
      </c>
      <c r="P15" s="34" t="str">
        <f aca="false">IF(OR(Roster!$A15="",Roster!P15=""),"",IF(OR(COUNTIFS(Roster!$B$7:$B$26,Roster!$B15,Roster!P$7:P$26,"?*")&gt;Setup!$B$5,COUNTIF(Roster!P$7:P$26,"?*")&gt;Setup!$B$6),"CLASH","OK"))</f>
        <v/>
      </c>
      <c r="Q15" s="34" t="str">
        <f aca="false">IF(OR(Roster!$A15="",Roster!Q15=""),"",IF(OR(COUNTIFS(Roster!$B$7:$B$26,Roster!$B15,Roster!Q$7:Q$26,"?*")&gt;Setup!$B$5,COUNTIF(Roster!Q$7:Q$26,"?*")&gt;Setup!$B$6),"CLASH","OK"))</f>
        <v/>
      </c>
      <c r="R15" s="34" t="str">
        <f aca="false">IF(OR(Roster!$A15="",Roster!R15=""),"",IF(OR(COUNTIFS(Roster!$B$7:$B$26,Roster!$B15,Roster!R$7:R$26,"?*")&gt;Setup!$B$5,COUNTIF(Roster!R$7:R$26,"?*")&gt;Setup!$B$6),"CLASH","OK"))</f>
        <v/>
      </c>
      <c r="S15" s="34" t="str">
        <f aca="false">IF(OR(Roster!$A15="",Roster!S15=""),"",IF(OR(COUNTIFS(Roster!$B$7:$B$26,Roster!$B15,Roster!S$7:S$26,"?*")&gt;Setup!$B$5,COUNTIF(Roster!S$7:S$26,"?*")&gt;Setup!$B$6),"CLASH","OK"))</f>
        <v/>
      </c>
      <c r="T15" s="34" t="str">
        <f aca="false">IF(OR(Roster!$A15="",Roster!T15=""),"",IF(OR(COUNTIFS(Roster!$B$7:$B$26,Roster!$B15,Roster!T$7:T$26,"?*")&gt;Setup!$B$5,COUNTIF(Roster!T$7:T$26,"?*")&gt;Setup!$B$6),"CLASH","OK"))</f>
        <v/>
      </c>
      <c r="U15" s="34" t="str">
        <f aca="false">IF(OR(Roster!$A15="",Roster!U15=""),"",IF(OR(COUNTIFS(Roster!$B$7:$B$26,Roster!$B15,Roster!U$7:U$26,"?*")&gt;Setup!$B$5,COUNTIF(Roster!U$7:U$26,"?*")&gt;Setup!$B$6),"CLASH","OK"))</f>
        <v/>
      </c>
      <c r="V15" s="34" t="str">
        <f aca="false">IF(OR(Roster!$A15="",Roster!V15=""),"",IF(OR(COUNTIFS(Roster!$B$7:$B$26,Roster!$B15,Roster!V$7:V$26,"?*")&gt;Setup!$B$5,COUNTIF(Roster!V$7:V$26,"?*")&gt;Setup!$B$6),"CLASH","OK"))</f>
        <v/>
      </c>
      <c r="W15" s="34" t="str">
        <f aca="false">IF(OR(Roster!$A15="",Roster!W15=""),"",IF(OR(COUNTIFS(Roster!$B$7:$B$26,Roster!$B15,Roster!W$7:W$26,"?*")&gt;Setup!$B$5,COUNTIF(Roster!W$7:W$26,"?*")&gt;Setup!$B$6),"CLASH","OK"))</f>
        <v/>
      </c>
      <c r="X15" s="34" t="str">
        <f aca="false">IF(OR(Roster!$A15="",Roster!X15=""),"",IF(OR(COUNTIFS(Roster!$B$7:$B$26,Roster!$B15,Roster!X$7:X$26,"?*")&gt;Setup!$B$5,COUNTIF(Roster!X$7:X$26,"?*")&gt;Setup!$B$6),"CLASH","OK"))</f>
        <v/>
      </c>
      <c r="Y15" s="34" t="str">
        <f aca="false">IF(OR(Roster!$A15="",Roster!Y15=""),"",IF(OR(COUNTIFS(Roster!$B$7:$B$26,Roster!$B15,Roster!Y$7:Y$26,"?*")&gt;Setup!$B$5,COUNTIF(Roster!Y$7:Y$26,"?*")&gt;Setup!$B$6),"CLASH","OK"))</f>
        <v/>
      </c>
      <c r="Z15" s="34" t="str">
        <f aca="false">IF(OR(Roster!$A15="",Roster!Z15=""),"",IF(OR(COUNTIFS(Roster!$B$7:$B$26,Roster!$B15,Roster!Z$7:Z$26,"?*")&gt;Setup!$B$5,COUNTIF(Roster!Z$7:Z$26,"?*")&gt;Setup!$B$6),"CLASH","OK"))</f>
        <v/>
      </c>
      <c r="AA15" s="34" t="str">
        <f aca="false">IF(OR(Roster!$A15="",Roster!AA15=""),"",IF(OR(COUNTIFS(Roster!$B$7:$B$26,Roster!$B15,Roster!AA$7:AA$26,"?*")&gt;Setup!$B$5,COUNTIF(Roster!AA$7:AA$26,"?*")&gt;Setup!$B$6),"CLASH","OK"))</f>
        <v/>
      </c>
      <c r="AB15" s="34" t="str">
        <f aca="false">IF(OR(Roster!$A15="",Roster!AB15=""),"",IF(OR(COUNTIFS(Roster!$B$7:$B$26,Roster!$B15,Roster!AB$7:AB$26,"?*")&gt;Setup!$B$5,COUNTIF(Roster!AB$7:AB$26,"?*")&gt;Setup!$B$6),"CLASH","OK"))</f>
        <v/>
      </c>
      <c r="AC15" s="34" t="str">
        <f aca="false">IF(OR(Roster!$A15="",Roster!AC15=""),"",IF(OR(COUNTIFS(Roster!$B$7:$B$26,Roster!$B15,Roster!AC$7:AC$26,"?*")&gt;Setup!$B$5,COUNTIF(Roster!AC$7:AC$26,"?*")&gt;Setup!$B$6),"CLASH","OK"))</f>
        <v/>
      </c>
      <c r="AD15" s="34" t="str">
        <f aca="false">IF(OR(Roster!$A15="",Roster!AD15=""),"",IF(OR(COUNTIFS(Roster!$B$7:$B$26,Roster!$B15,Roster!AD$7:AD$26,"?*")&gt;Setup!$B$5,COUNTIF(Roster!AD$7:AD$26,"?*")&gt;Setup!$B$6),"CLASH","OK"))</f>
        <v/>
      </c>
      <c r="AE15" s="34" t="str">
        <f aca="false">IF(OR(Roster!$A15="",Roster!AE15=""),"",IF(OR(COUNTIFS(Roster!$B$7:$B$26,Roster!$B15,Roster!AE$7:AE$26,"?*")&gt;Setup!$B$5,COUNTIF(Roster!AE$7:AE$26,"?*")&gt;Setup!$B$6),"CLASH","OK"))</f>
        <v/>
      </c>
      <c r="AF15" s="34" t="str">
        <f aca="false">IF(OR(Roster!$A15="",Roster!AF15=""),"",IF(OR(COUNTIFS(Roster!$B$7:$B$26,Roster!$B15,Roster!AF$7:AF$26,"?*")&gt;Setup!$B$5,COUNTIF(Roster!AF$7:AF$26,"?*")&gt;Setup!$B$6),"CLASH","OK"))</f>
        <v/>
      </c>
      <c r="AG15" s="34" t="str">
        <f aca="false">IF(OR(Roster!$A15="",Roster!AG15=""),"",IF(OR(COUNTIFS(Roster!$B$7:$B$26,Roster!$B15,Roster!AG$7:AG$26,"?*")&gt;Setup!$B$5,COUNTIF(Roster!AG$7:AG$26,"?*")&gt;Setup!$B$6),"CLASH","OK"))</f>
        <v/>
      </c>
      <c r="AH15" s="34" t="str">
        <f aca="false">IF(OR(Roster!$A15="",Roster!AH15=""),"",IF(OR(COUNTIFS(Roster!$B$7:$B$26,Roster!$B15,Roster!AH$7:AH$26,"?*")&gt;Setup!$B$5,COUNTIF(Roster!AH$7:AH$26,"?*")&gt;Setup!$B$6),"CLASH","OK"))</f>
        <v/>
      </c>
      <c r="AI15" s="34" t="str">
        <f aca="false">IF(OR(Roster!$A15="",Roster!AI15=""),"",IF(OR(COUNTIFS(Roster!$B$7:$B$26,Roster!$B15,Roster!AI$7:AI$26,"?*")&gt;Setup!$B$5,COUNTIF(Roster!AI$7:AI$26,"?*")&gt;Setup!$B$6),"CLASH","OK"))</f>
        <v/>
      </c>
      <c r="AJ15" s="34" t="str">
        <f aca="false">IF(OR(Roster!$A15="",Roster!AJ15=""),"",IF(OR(COUNTIFS(Roster!$B$7:$B$26,Roster!$B15,Roster!AJ$7:AJ$26,"?*")&gt;Setup!$B$5,COUNTIF(Roster!AJ$7:AJ$26,"?*")&gt;Setup!$B$6),"CLASH","OK"))</f>
        <v/>
      </c>
      <c r="AK15" s="34" t="str">
        <f aca="false">IF(OR(Roster!$A15="",Roster!AK15=""),"",IF(OR(COUNTIFS(Roster!$B$7:$B$26,Roster!$B15,Roster!AK$7:AK$26,"?*")&gt;Setup!$B$5,COUNTIF(Roster!AK$7:AK$26,"?*")&gt;Setup!$B$6),"CLASH","OK"))</f>
        <v/>
      </c>
      <c r="AL15" s="34" t="str">
        <f aca="false">IF(OR(Roster!$A15="",Roster!AL15=""),"",IF(OR(COUNTIFS(Roster!$B$7:$B$26,Roster!$B15,Roster!AL$7:AL$26,"?*")&gt;Setup!$B$5,COUNTIF(Roster!AL$7:AL$26,"?*")&gt;Setup!$B$6),"CLASH","OK"))</f>
        <v/>
      </c>
      <c r="AM15" s="34" t="str">
        <f aca="false">IF(OR(Roster!$A15="",Roster!AM15=""),"",IF(OR(COUNTIFS(Roster!$B$7:$B$26,Roster!$B15,Roster!AM$7:AM$26,"?*")&gt;Setup!$B$5,COUNTIF(Roster!AM$7:AM$26,"?*")&gt;Setup!$B$6),"CLASH","OK"))</f>
        <v/>
      </c>
      <c r="AN15" s="34" t="str">
        <f aca="false">IF(OR(Roster!$A15="",Roster!AN15=""),"",IF(OR(COUNTIFS(Roster!$B$7:$B$26,Roster!$B15,Roster!AN$7:AN$26,"?*")&gt;Setup!$B$5,COUNTIF(Roster!AN$7:AN$26,"?*")&gt;Setup!$B$6),"CLASH","OK"))</f>
        <v/>
      </c>
      <c r="AO15" s="34" t="str">
        <f aca="false">IF(OR(Roster!$A15="",Roster!AO15=""),"",IF(OR(COUNTIFS(Roster!$B$7:$B$26,Roster!$B15,Roster!AO$7:AO$26,"?*")&gt;Setup!$B$5,COUNTIF(Roster!AO$7:AO$26,"?*")&gt;Setup!$B$6),"CLASH","OK"))</f>
        <v/>
      </c>
      <c r="AP15" s="34" t="str">
        <f aca="false">IF(OR(Roster!$A15="",Roster!AP15=""),"",IF(OR(COUNTIFS(Roster!$B$7:$B$26,Roster!$B15,Roster!AP$7:AP$26,"?*")&gt;Setup!$B$5,COUNTIF(Roster!AP$7:AP$26,"?*")&gt;Setup!$B$6),"CLASH","OK"))</f>
        <v/>
      </c>
      <c r="AQ15" s="34" t="str">
        <f aca="false">IF(OR(Roster!$A15="",Roster!AQ15=""),"",IF(OR(COUNTIFS(Roster!$B$7:$B$26,Roster!$B15,Roster!AQ$7:AQ$26,"?*")&gt;Setup!$B$5,COUNTIF(Roster!AQ$7:AQ$26,"?*")&gt;Setup!$B$6),"CLASH","OK"))</f>
        <v/>
      </c>
      <c r="AR15" s="34" t="str">
        <f aca="false">IF(OR(Roster!$A15="",Roster!AR15=""),"",IF(OR(COUNTIFS(Roster!$B$7:$B$26,Roster!$B15,Roster!AR$7:AR$26,"?*")&gt;Setup!$B$5,COUNTIF(Roster!AR$7:AR$26,"?*")&gt;Setup!$B$6),"CLASH","OK"))</f>
        <v/>
      </c>
      <c r="AS15" s="34" t="str">
        <f aca="false">IF(OR(Roster!$A15="",Roster!AS15=""),"",IF(OR(COUNTIFS(Roster!$B$7:$B$26,Roster!$B15,Roster!AS$7:AS$26,"?*")&gt;Setup!$B$5,COUNTIF(Roster!AS$7:AS$26,"?*")&gt;Setup!$B$6),"CLASH","OK"))</f>
        <v/>
      </c>
      <c r="AT15" s="34" t="str">
        <f aca="false">IF(OR(Roster!$A15="",Roster!AT15=""),"",IF(OR(COUNTIFS(Roster!$B$7:$B$26,Roster!$B15,Roster!AT$7:AT$26,"?*")&gt;Setup!$B$5,COUNTIF(Roster!AT$7:AT$26,"?*")&gt;Setup!$B$6),"CLASH","OK"))</f>
        <v/>
      </c>
      <c r="AU15" s="34" t="str">
        <f aca="false">IF(OR(Roster!$A15="",Roster!AU15=""),"",IF(OR(COUNTIFS(Roster!$B$7:$B$26,Roster!$B15,Roster!AU$7:AU$26,"?*")&gt;Setup!$B$5,COUNTIF(Roster!AU$7:AU$26,"?*")&gt;Setup!$B$6),"CLASH","OK"))</f>
        <v/>
      </c>
      <c r="AV15" s="34" t="str">
        <f aca="false">IF(OR(Roster!$A15="",Roster!AV15=""),"",IF(OR(COUNTIFS(Roster!$B$7:$B$26,Roster!$B15,Roster!AV$7:AV$26,"?*")&gt;Setup!$B$5,COUNTIF(Roster!AV$7:AV$26,"?*")&gt;Setup!$B$6),"CLASH","OK"))</f>
        <v/>
      </c>
      <c r="AW15" s="34" t="str">
        <f aca="false">IF(OR(Roster!$A15="",Roster!AW15=""),"",IF(OR(COUNTIFS(Roster!$B$7:$B$26,Roster!$B15,Roster!AW$7:AW$26,"?*")&gt;Setup!$B$5,COUNTIF(Roster!AW$7:AW$26,"?*")&gt;Setup!$B$6),"CLASH","OK"))</f>
        <v/>
      </c>
      <c r="AX15" s="34" t="str">
        <f aca="false">IF(OR(Roster!$A15="",Roster!AX15=""),"",IF(OR(COUNTIFS(Roster!$B$7:$B$26,Roster!$B15,Roster!AX$7:AX$26,"?*")&gt;Setup!$B$5,COUNTIF(Roster!AX$7:AX$26,"?*")&gt;Setup!$B$6),"CLASH","OK"))</f>
        <v/>
      </c>
      <c r="AY15" s="34" t="str">
        <f aca="false">IF(OR(Roster!$A15="",Roster!AY15=""),"",IF(OR(COUNTIFS(Roster!$B$7:$B$26,Roster!$B15,Roster!AY$7:AY$26,"?*")&gt;Setup!$B$5,COUNTIF(Roster!AY$7:AY$26,"?*")&gt;Setup!$B$6),"CLASH","OK"))</f>
        <v/>
      </c>
      <c r="AZ15" s="34" t="str">
        <f aca="false">IF(OR(Roster!$A15="",Roster!AZ15=""),"",IF(OR(COUNTIFS(Roster!$B$7:$B$26,Roster!$B15,Roster!AZ$7:AZ$26,"?*")&gt;Setup!$B$5,COUNTIF(Roster!AZ$7:AZ$26,"?*")&gt;Setup!$B$6),"CLASH","OK"))</f>
        <v/>
      </c>
      <c r="BA15" s="34" t="str">
        <f aca="false">IF(OR(Roster!$A15="",Roster!BA15=""),"",IF(OR(COUNTIFS(Roster!$B$7:$B$26,Roster!$B15,Roster!BA$7:BA$26,"?*")&gt;Setup!$B$5,COUNTIF(Roster!BA$7:BA$26,"?*")&gt;Setup!$B$6),"CLASH","OK"))</f>
        <v/>
      </c>
      <c r="BB15" s="34" t="str">
        <f aca="false">IF(OR(Roster!$A15="",Roster!BB15=""),"",IF(OR(COUNTIFS(Roster!$B$7:$B$26,Roster!$B15,Roster!BB$7:BB$26,"?*")&gt;Setup!$B$5,COUNTIF(Roster!BB$7:BB$26,"?*")&gt;Setup!$B$6),"CLASH","OK"))</f>
        <v/>
      </c>
      <c r="BC15" s="34" t="str">
        <f aca="false">IF(OR(Roster!$A15="",Roster!BC15=""),"",IF(OR(COUNTIFS(Roster!$B$7:$B$26,Roster!$B15,Roster!BC$7:BC$26,"?*")&gt;Setup!$B$5,COUNTIF(Roster!BC$7:BC$26,"?*")&gt;Setup!$B$6),"CLASH","OK"))</f>
        <v/>
      </c>
      <c r="BD15" s="34" t="str">
        <f aca="false">IF(OR(Roster!$A15="",Roster!BD15=""),"",IF(OR(COUNTIFS(Roster!$B$7:$B$26,Roster!$B15,Roster!BD$7:BD$26,"?*")&gt;Setup!$B$5,COUNTIF(Roster!BD$7:BD$26,"?*")&gt;Setup!$B$6),"CLASH","OK"))</f>
        <v/>
      </c>
      <c r="BE15" s="34" t="str">
        <f aca="false">IF(OR(Roster!$A15="",Roster!BE15=""),"",IF(OR(COUNTIFS(Roster!$B$7:$B$26,Roster!$B15,Roster!BE$7:BE$26,"?*")&gt;Setup!$B$5,COUNTIF(Roster!BE$7:BE$26,"?*")&gt;Setup!$B$6),"CLASH","OK"))</f>
        <v/>
      </c>
      <c r="BF15" s="34" t="str">
        <f aca="false">IF(OR(Roster!$A15="",Roster!BF15=""),"",IF(OR(COUNTIFS(Roster!$B$7:$B$26,Roster!$B15,Roster!BF$7:BF$26,"?*")&gt;Setup!$B$5,COUNTIF(Roster!BF$7:BF$26,"?*")&gt;Setup!$B$6),"CLASH","OK"))</f>
        <v/>
      </c>
      <c r="BG15" s="34" t="str">
        <f aca="false">IF(OR(Roster!$A15="",Roster!BG15=""),"",IF(OR(COUNTIFS(Roster!$B$7:$B$26,Roster!$B15,Roster!BG$7:BG$26,"?*")&gt;Setup!$B$5,COUNTIF(Roster!BG$7:BG$26,"?*")&gt;Setup!$B$6),"CLASH","OK"))</f>
        <v/>
      </c>
      <c r="BH15" s="34" t="str">
        <f aca="false">IF(OR(Roster!$A15="",Roster!BH15=""),"",IF(OR(COUNTIFS(Roster!$B$7:$B$26,Roster!$B15,Roster!BH$7:BH$26,"?*")&gt;Setup!$B$5,COUNTIF(Roster!BH$7:BH$26,"?*")&gt;Setup!$B$6),"CLASH","OK"))</f>
        <v/>
      </c>
      <c r="BI15" s="34" t="str">
        <f aca="false">IF(OR(Roster!$A15="",Roster!BI15=""),"",IF(OR(COUNTIFS(Roster!$B$7:$B$26,Roster!$B15,Roster!BI$7:BI$26,"?*")&gt;Setup!$B$5,COUNTIF(Roster!BI$7:BI$26,"?*")&gt;Setup!$B$6),"CLASH","OK"))</f>
        <v/>
      </c>
      <c r="BJ15" s="34" t="str">
        <f aca="false">IF(OR(Roster!$A15="",Roster!BJ15=""),"",IF(OR(COUNTIFS(Roster!$B$7:$B$26,Roster!$B15,Roster!BJ$7:BJ$26,"?*")&gt;Setup!$B$5,COUNTIF(Roster!BJ$7:BJ$26,"?*")&gt;Setup!$B$6),"CLASH","OK"))</f>
        <v/>
      </c>
      <c r="BK15" s="34" t="str">
        <f aca="false">IF(OR(Roster!$A15="",Roster!BK15=""),"",IF(OR(COUNTIFS(Roster!$B$7:$B$26,Roster!$B15,Roster!BK$7:BK$26,"?*")&gt;Setup!$B$5,COUNTIF(Roster!BK$7:BK$26,"?*")&gt;Setup!$B$6),"CLASH","OK"))</f>
        <v/>
      </c>
      <c r="BL15" s="34" t="str">
        <f aca="false">IF(OR(Roster!$A15="",Roster!BL15=""),"",IF(OR(COUNTIFS(Roster!$B$7:$B$26,Roster!$B15,Roster!BL$7:BL$26,"?*")&gt;Setup!$B$5,COUNTIF(Roster!BL$7:BL$26,"?*")&gt;Setup!$B$6),"CLASH","OK"))</f>
        <v/>
      </c>
      <c r="BM15" s="34" t="str">
        <f aca="false">IF(OR(Roster!$A15="",Roster!BM15=""),"",IF(OR(COUNTIFS(Roster!$B$7:$B$26,Roster!$B15,Roster!BM$7:BM$26,"?*")&gt;Setup!$B$5,COUNTIF(Roster!BM$7:BM$26,"?*")&gt;Setup!$B$6),"CLASH","OK"))</f>
        <v/>
      </c>
      <c r="BN15" s="34" t="str">
        <f aca="false">IF(OR(Roster!$A15="",Roster!BN15=""),"",IF(OR(COUNTIFS(Roster!$B$7:$B$26,Roster!$B15,Roster!BN$7:BN$26,"?*")&gt;Setup!$B$5,COUNTIF(Roster!BN$7:BN$26,"?*")&gt;Setup!$B$6),"CLASH","OK"))</f>
        <v/>
      </c>
      <c r="BO15" s="34" t="str">
        <f aca="false">IF(OR(Roster!$A15="",Roster!BO15=""),"",IF(OR(COUNTIFS(Roster!$B$7:$B$26,Roster!$B15,Roster!BO$7:BO$26,"?*")&gt;Setup!$B$5,COUNTIF(Roster!BO$7:BO$26,"?*")&gt;Setup!$B$6),"CLASH","OK"))</f>
        <v/>
      </c>
      <c r="BP15" s="34" t="str">
        <f aca="false">IF(OR(Roster!$A15="",Roster!BP15=""),"",IF(OR(COUNTIFS(Roster!$B$7:$B$26,Roster!$B15,Roster!BP$7:BP$26,"?*")&gt;Setup!$B$5,COUNTIF(Roster!BP$7:BP$26,"?*")&gt;Setup!$B$6),"CLASH","OK"))</f>
        <v/>
      </c>
      <c r="BQ15" s="34" t="str">
        <f aca="false">IF(OR(Roster!$A15="",Roster!BQ15=""),"",IF(OR(COUNTIFS(Roster!$B$7:$B$26,Roster!$B15,Roster!BQ$7:BQ$26,"?*")&gt;Setup!$B$5,COUNTIF(Roster!BQ$7:BQ$26,"?*")&gt;Setup!$B$6),"CLASH","OK"))</f>
        <v/>
      </c>
      <c r="BR15" s="34" t="str">
        <f aca="false">IF(OR(Roster!$A15="",Roster!BR15=""),"",IF(OR(COUNTIFS(Roster!$B$7:$B$26,Roster!$B15,Roster!BR$7:BR$26,"?*")&gt;Setup!$B$5,COUNTIF(Roster!BR$7:BR$26,"?*")&gt;Setup!$B$6),"CLASH","OK"))</f>
        <v/>
      </c>
      <c r="BS15" s="34" t="str">
        <f aca="false">IF(OR(Roster!$A15="",Roster!BS15=""),"",IF(OR(COUNTIFS(Roster!$B$7:$B$26,Roster!$B15,Roster!BS$7:BS$26,"?*")&gt;Setup!$B$5,COUNTIF(Roster!BS$7:BS$26,"?*")&gt;Setup!$B$6),"CLASH","OK"))</f>
        <v/>
      </c>
      <c r="BT15" s="34" t="str">
        <f aca="false">IF(OR(Roster!$A15="",Roster!BT15=""),"",IF(OR(COUNTIFS(Roster!$B$7:$B$26,Roster!$B15,Roster!BT$7:BT$26,"?*")&gt;Setup!$B$5,COUNTIF(Roster!BT$7:BT$26,"?*")&gt;Setup!$B$6),"CLASH","OK"))</f>
        <v/>
      </c>
      <c r="BU15" s="34" t="str">
        <f aca="false">IF(OR(Roster!$A15="",Roster!BU15=""),"",IF(OR(COUNTIFS(Roster!$B$7:$B$26,Roster!$B15,Roster!BU$7:BU$26,"?*")&gt;Setup!$B$5,COUNTIF(Roster!BU$7:BU$26,"?*")&gt;Setup!$B$6),"CLASH","OK"))</f>
        <v/>
      </c>
      <c r="BV15" s="34" t="str">
        <f aca="false">IF(OR(Roster!$A15="",Roster!BV15=""),"",IF(OR(COUNTIFS(Roster!$B$7:$B$26,Roster!$B15,Roster!BV$7:BV$26,"?*")&gt;Setup!$B$5,COUNTIF(Roster!BV$7:BV$26,"?*")&gt;Setup!$B$6),"CLASH","OK"))</f>
        <v/>
      </c>
      <c r="BW15" s="34" t="str">
        <f aca="false">IF(OR(Roster!$A15="",Roster!BW15=""),"",IF(OR(COUNTIFS(Roster!$B$7:$B$26,Roster!$B15,Roster!BW$7:BW$26,"?*")&gt;Setup!$B$5,COUNTIF(Roster!BW$7:BW$26,"?*")&gt;Setup!$B$6),"CLASH","OK"))</f>
        <v/>
      </c>
      <c r="BX15" s="34" t="str">
        <f aca="false">IF(OR(Roster!$A15="",Roster!BX15=""),"",IF(OR(COUNTIFS(Roster!$B$7:$B$26,Roster!$B15,Roster!BX$7:BX$26,"?*")&gt;Setup!$B$5,COUNTIF(Roster!BX$7:BX$26,"?*")&gt;Setup!$B$6),"CLASH","OK"))</f>
        <v/>
      </c>
      <c r="BY15" s="34" t="str">
        <f aca="false">IF(OR(Roster!$A15="",Roster!BY15=""),"",IF(OR(COUNTIFS(Roster!$B$7:$B$26,Roster!$B15,Roster!BY$7:BY$26,"?*")&gt;Setup!$B$5,COUNTIF(Roster!BY$7:BY$26,"?*")&gt;Setup!$B$6),"CLASH","OK"))</f>
        <v/>
      </c>
      <c r="BZ15" s="34" t="str">
        <f aca="false">IF(OR(Roster!$A15="",Roster!BZ15=""),"",IF(OR(COUNTIFS(Roster!$B$7:$B$26,Roster!$B15,Roster!BZ$7:BZ$26,"?*")&gt;Setup!$B$5,COUNTIF(Roster!BZ$7:BZ$26,"?*")&gt;Setup!$B$6),"CLASH","OK"))</f>
        <v/>
      </c>
      <c r="CA15" s="34" t="str">
        <f aca="false">IF(OR(Roster!$A15="",Roster!CA15=""),"",IF(OR(COUNTIFS(Roster!$B$7:$B$26,Roster!$B15,Roster!CA$7:CA$26,"?*")&gt;Setup!$B$5,COUNTIF(Roster!CA$7:CA$26,"?*")&gt;Setup!$B$6),"CLASH","OK"))</f>
        <v/>
      </c>
      <c r="CB15" s="34" t="str">
        <f aca="false">IF(OR(Roster!$A15="",Roster!CB15=""),"",IF(OR(COUNTIFS(Roster!$B$7:$B$26,Roster!$B15,Roster!CB$7:CB$26,"?*")&gt;Setup!$B$5,COUNTIF(Roster!CB$7:CB$26,"?*")&gt;Setup!$B$6),"CLASH","OK"))</f>
        <v/>
      </c>
      <c r="CC15" s="34" t="str">
        <f aca="false">IF(OR(Roster!$A15="",Roster!CC15=""),"",IF(OR(COUNTIFS(Roster!$B$7:$B$26,Roster!$B15,Roster!CC$7:CC$26,"?*")&gt;Setup!$B$5,COUNTIF(Roster!CC$7:CC$26,"?*")&gt;Setup!$B$6),"CLASH","OK"))</f>
        <v/>
      </c>
      <c r="CD15" s="34" t="str">
        <f aca="false">IF(OR(Roster!$A15="",Roster!CD15=""),"",IF(OR(COUNTIFS(Roster!$B$7:$B$26,Roster!$B15,Roster!CD$7:CD$26,"?*")&gt;Setup!$B$5,COUNTIF(Roster!CD$7:CD$26,"?*")&gt;Setup!$B$6),"CLASH","OK"))</f>
        <v>OK</v>
      </c>
      <c r="CE15" s="34" t="str">
        <f aca="false">IF(OR(Roster!$A15="",Roster!CE15=""),"",IF(OR(COUNTIFS(Roster!$B$7:$B$26,Roster!$B15,Roster!CE$7:CE$26,"?*")&gt;Setup!$B$5,COUNTIF(Roster!CE$7:CE$26,"?*")&gt;Setup!$B$6),"CLASH","OK"))</f>
        <v>OK</v>
      </c>
      <c r="CF15" s="34" t="str">
        <f aca="false">IF(OR(Roster!$A15="",Roster!CF15=""),"",IF(OR(COUNTIFS(Roster!$B$7:$B$26,Roster!$B15,Roster!CF$7:CF$26,"?*")&gt;Setup!$B$5,COUNTIF(Roster!CF$7:CF$26,"?*")&gt;Setup!$B$6),"CLASH","OK"))</f>
        <v>OK</v>
      </c>
      <c r="CG15" s="34" t="str">
        <f aca="false">IF(OR(Roster!$A15="",Roster!CG15=""),"",IF(OR(COUNTIFS(Roster!$B$7:$B$26,Roster!$B15,Roster!CG$7:CG$26,"?*")&gt;Setup!$B$5,COUNTIF(Roster!CG$7:CG$26,"?*")&gt;Setup!$B$6),"CLASH","OK"))</f>
        <v>OK</v>
      </c>
      <c r="CH15" s="34" t="str">
        <f aca="false">IF(OR(Roster!$A15="",Roster!CH15=""),"",IF(OR(COUNTIFS(Roster!$B$7:$B$26,Roster!$B15,Roster!CH$7:CH$26,"?*")&gt;Setup!$B$5,COUNTIF(Roster!CH$7:CH$26,"?*")&gt;Setup!$B$6),"CLASH","OK"))</f>
        <v>OK</v>
      </c>
      <c r="CI15" s="34" t="str">
        <f aca="false">IF(OR(Roster!$A15="",Roster!CI15=""),"",IF(OR(COUNTIFS(Roster!$B$7:$B$26,Roster!$B15,Roster!CI$7:CI$26,"?*")&gt;Setup!$B$5,COUNTIF(Roster!CI$7:CI$26,"?*")&gt;Setup!$B$6),"CLASH","OK"))</f>
        <v/>
      </c>
      <c r="CJ15" s="34" t="str">
        <f aca="false">IF(OR(Roster!$A15="",Roster!CJ15=""),"",IF(OR(COUNTIFS(Roster!$B$7:$B$26,Roster!$B15,Roster!CJ$7:CJ$26,"?*")&gt;Setup!$B$5,COUNTIF(Roster!CJ$7:CJ$26,"?*")&gt;Setup!$B$6),"CLASH","OK"))</f>
        <v/>
      </c>
      <c r="CK15" s="34" t="str">
        <f aca="false">IF(OR(Roster!$A15="",Roster!CK15=""),"",IF(OR(COUNTIFS(Roster!$B$7:$B$26,Roster!$B15,Roster!CK$7:CK$26,"?*")&gt;Setup!$B$5,COUNTIF(Roster!CK$7:CK$26,"?*")&gt;Setup!$B$6),"CLASH","OK"))</f>
        <v/>
      </c>
      <c r="CL15" s="34" t="str">
        <f aca="false">IF(OR(Roster!$A15="",Roster!CL15=""),"",IF(OR(COUNTIFS(Roster!$B$7:$B$26,Roster!$B15,Roster!CL$7:CL$26,"?*")&gt;Setup!$B$5,COUNTIF(Roster!CL$7:CL$26,"?*")&gt;Setup!$B$6),"CLASH","OK"))</f>
        <v/>
      </c>
      <c r="CM15" s="34" t="str">
        <f aca="false">IF(OR(Roster!$A15="",Roster!CM15=""),"",IF(OR(COUNTIFS(Roster!$B$7:$B$26,Roster!$B15,Roster!CM$7:CM$26,"?*")&gt;Setup!$B$5,COUNTIF(Roster!CM$7:CM$26,"?*")&gt;Setup!$B$6),"CLASH","OK"))</f>
        <v/>
      </c>
      <c r="CN15" s="34" t="str">
        <f aca="false">IF(OR(Roster!$A15="",Roster!CN15=""),"",IF(OR(COUNTIFS(Roster!$B$7:$B$26,Roster!$B15,Roster!CN$7:CN$26,"?*")&gt;Setup!$B$5,COUNTIF(Roster!CN$7:CN$26,"?*")&gt;Setup!$B$6),"CLASH","OK"))</f>
        <v/>
      </c>
      <c r="CO15" s="34" t="str">
        <f aca="false">IF(OR(Roster!$A15="",Roster!CO15=""),"",IF(OR(COUNTIFS(Roster!$B$7:$B$26,Roster!$B15,Roster!CO$7:CO$26,"?*")&gt;Setup!$B$5,COUNTIF(Roster!CO$7:CO$26,"?*")&gt;Setup!$B$6),"CLASH","OK"))</f>
        <v/>
      </c>
      <c r="CP15" s="34" t="str">
        <f aca="false">IF(OR(Roster!$A15="",Roster!CP15=""),"",IF(OR(COUNTIFS(Roster!$B$7:$B$26,Roster!$B15,Roster!CP$7:CP$26,"?*")&gt;Setup!$B$5,COUNTIF(Roster!CP$7:CP$26,"?*")&gt;Setup!$B$6),"CLASH","OK"))</f>
        <v/>
      </c>
      <c r="CQ15" s="34" t="str">
        <f aca="false">IF(OR(Roster!$A15="",Roster!CQ15=""),"",IF(OR(COUNTIFS(Roster!$B$7:$B$26,Roster!$B15,Roster!CQ$7:CQ$26,"?*")&gt;Setup!$B$5,COUNTIF(Roster!CQ$7:CQ$26,"?*")&gt;Setup!$B$6),"CLASH","OK"))</f>
        <v/>
      </c>
      <c r="CR15" s="34" t="str">
        <f aca="false">IF(OR(Roster!$A15="",Roster!CR15=""),"",IF(OR(COUNTIFS(Roster!$B$7:$B$26,Roster!$B15,Roster!CR$7:CR$26,"?*")&gt;Setup!$B$5,COUNTIF(Roster!CR$7:CR$26,"?*")&gt;Setup!$B$6),"CLASH","OK"))</f>
        <v/>
      </c>
      <c r="CS15" s="34" t="str">
        <f aca="false">IF(OR(Roster!$A15="",Roster!CS15=""),"",IF(OR(COUNTIFS(Roster!$B$7:$B$26,Roster!$B15,Roster!CS$7:CS$26,"?*")&gt;Setup!$B$5,COUNTIF(Roster!CS$7:CS$26,"?*")&gt;Setup!$B$6),"CLASH","OK"))</f>
        <v/>
      </c>
      <c r="CT15" s="34" t="str">
        <f aca="false">IF(OR(Roster!$A15="",Roster!CT15=""),"",IF(OR(COUNTIFS(Roster!$B$7:$B$26,Roster!$B15,Roster!CT$7:CT$26,"?*")&gt;Setup!$B$5,COUNTIF(Roster!CT$7:CT$26,"?*")&gt;Setup!$B$6),"CLASH","OK"))</f>
        <v/>
      </c>
      <c r="CU15" s="34" t="str">
        <f aca="false">IF(OR(Roster!$A15="",Roster!CU15=""),"",IF(OR(COUNTIFS(Roster!$B$7:$B$26,Roster!$B15,Roster!CU$7:CU$26,"?*")&gt;Setup!$B$5,COUNTIF(Roster!CU$7:CU$26,"?*")&gt;Setup!$B$6),"CLASH","OK"))</f>
        <v/>
      </c>
    </row>
    <row r="16" customFormat="false" ht="15" hidden="false" customHeight="false" outlineLevel="0" collapsed="false">
      <c r="A16" s="33" t="str">
        <f aca="false">IF(Roster!A16="","",Roster!A16)</f>
        <v/>
      </c>
      <c r="B16" s="33" t="str">
        <f aca="false">IF(Roster!A16="","",Roster!B16)</f>
        <v/>
      </c>
      <c r="H16" s="34" t="str">
        <f aca="false">IF(OR(Roster!$A16="",Roster!H16=""),"",IF(OR(COUNTIFS(Roster!$B$7:$B$26,Roster!$B16,Roster!H$7:H$26,"?*")&gt;Setup!$B$5,COUNTIF(Roster!H$7:H$26,"?*")&gt;Setup!$B$6),"CLASH","OK"))</f>
        <v/>
      </c>
      <c r="I16" s="34" t="str">
        <f aca="false">IF(OR(Roster!$A16="",Roster!I16=""),"",IF(OR(COUNTIFS(Roster!$B$7:$B$26,Roster!$B16,Roster!I$7:I$26,"?*")&gt;Setup!$B$5,COUNTIF(Roster!I$7:I$26,"?*")&gt;Setup!$B$6),"CLASH","OK"))</f>
        <v/>
      </c>
      <c r="J16" s="34" t="str">
        <f aca="false">IF(OR(Roster!$A16="",Roster!J16=""),"",IF(OR(COUNTIFS(Roster!$B$7:$B$26,Roster!$B16,Roster!J$7:J$26,"?*")&gt;Setup!$B$5,COUNTIF(Roster!J$7:J$26,"?*")&gt;Setup!$B$6),"CLASH","OK"))</f>
        <v/>
      </c>
      <c r="K16" s="34" t="str">
        <f aca="false">IF(OR(Roster!$A16="",Roster!K16=""),"",IF(OR(COUNTIFS(Roster!$B$7:$B$26,Roster!$B16,Roster!K$7:K$26,"?*")&gt;Setup!$B$5,COUNTIF(Roster!K$7:K$26,"?*")&gt;Setup!$B$6),"CLASH","OK"))</f>
        <v/>
      </c>
      <c r="L16" s="34" t="str">
        <f aca="false">IF(OR(Roster!$A16="",Roster!L16=""),"",IF(OR(COUNTIFS(Roster!$B$7:$B$26,Roster!$B16,Roster!L$7:L$26,"?*")&gt;Setup!$B$5,COUNTIF(Roster!L$7:L$26,"?*")&gt;Setup!$B$6),"CLASH","OK"))</f>
        <v/>
      </c>
      <c r="M16" s="34" t="str">
        <f aca="false">IF(OR(Roster!$A16="",Roster!M16=""),"",IF(OR(COUNTIFS(Roster!$B$7:$B$26,Roster!$B16,Roster!M$7:M$26,"?*")&gt;Setup!$B$5,COUNTIF(Roster!M$7:M$26,"?*")&gt;Setup!$B$6),"CLASH","OK"))</f>
        <v/>
      </c>
      <c r="N16" s="34" t="str">
        <f aca="false">IF(OR(Roster!$A16="",Roster!N16=""),"",IF(OR(COUNTIFS(Roster!$B$7:$B$26,Roster!$B16,Roster!N$7:N$26,"?*")&gt;Setup!$B$5,COUNTIF(Roster!N$7:N$26,"?*")&gt;Setup!$B$6),"CLASH","OK"))</f>
        <v/>
      </c>
      <c r="O16" s="34" t="str">
        <f aca="false">IF(OR(Roster!$A16="",Roster!O16=""),"",IF(OR(COUNTIFS(Roster!$B$7:$B$26,Roster!$B16,Roster!O$7:O$26,"?*")&gt;Setup!$B$5,COUNTIF(Roster!O$7:O$26,"?*")&gt;Setup!$B$6),"CLASH","OK"))</f>
        <v/>
      </c>
      <c r="P16" s="34" t="str">
        <f aca="false">IF(OR(Roster!$A16="",Roster!P16=""),"",IF(OR(COUNTIFS(Roster!$B$7:$B$26,Roster!$B16,Roster!P$7:P$26,"?*")&gt;Setup!$B$5,COUNTIF(Roster!P$7:P$26,"?*")&gt;Setup!$B$6),"CLASH","OK"))</f>
        <v/>
      </c>
      <c r="Q16" s="34" t="str">
        <f aca="false">IF(OR(Roster!$A16="",Roster!Q16=""),"",IF(OR(COUNTIFS(Roster!$B$7:$B$26,Roster!$B16,Roster!Q$7:Q$26,"?*")&gt;Setup!$B$5,COUNTIF(Roster!Q$7:Q$26,"?*")&gt;Setup!$B$6),"CLASH","OK"))</f>
        <v/>
      </c>
      <c r="R16" s="34" t="str">
        <f aca="false">IF(OR(Roster!$A16="",Roster!R16=""),"",IF(OR(COUNTIFS(Roster!$B$7:$B$26,Roster!$B16,Roster!R$7:R$26,"?*")&gt;Setup!$B$5,COUNTIF(Roster!R$7:R$26,"?*")&gt;Setup!$B$6),"CLASH","OK"))</f>
        <v/>
      </c>
      <c r="S16" s="34" t="str">
        <f aca="false">IF(OR(Roster!$A16="",Roster!S16=""),"",IF(OR(COUNTIFS(Roster!$B$7:$B$26,Roster!$B16,Roster!S$7:S$26,"?*")&gt;Setup!$B$5,COUNTIF(Roster!S$7:S$26,"?*")&gt;Setup!$B$6),"CLASH","OK"))</f>
        <v/>
      </c>
      <c r="T16" s="34" t="str">
        <f aca="false">IF(OR(Roster!$A16="",Roster!T16=""),"",IF(OR(COUNTIFS(Roster!$B$7:$B$26,Roster!$B16,Roster!T$7:T$26,"?*")&gt;Setup!$B$5,COUNTIF(Roster!T$7:T$26,"?*")&gt;Setup!$B$6),"CLASH","OK"))</f>
        <v/>
      </c>
      <c r="U16" s="34" t="str">
        <f aca="false">IF(OR(Roster!$A16="",Roster!U16=""),"",IF(OR(COUNTIFS(Roster!$B$7:$B$26,Roster!$B16,Roster!U$7:U$26,"?*")&gt;Setup!$B$5,COUNTIF(Roster!U$7:U$26,"?*")&gt;Setup!$B$6),"CLASH","OK"))</f>
        <v/>
      </c>
      <c r="V16" s="34" t="str">
        <f aca="false">IF(OR(Roster!$A16="",Roster!V16=""),"",IF(OR(COUNTIFS(Roster!$B$7:$B$26,Roster!$B16,Roster!V$7:V$26,"?*")&gt;Setup!$B$5,COUNTIF(Roster!V$7:V$26,"?*")&gt;Setup!$B$6),"CLASH","OK"))</f>
        <v/>
      </c>
      <c r="W16" s="34" t="str">
        <f aca="false">IF(OR(Roster!$A16="",Roster!W16=""),"",IF(OR(COUNTIFS(Roster!$B$7:$B$26,Roster!$B16,Roster!W$7:W$26,"?*")&gt;Setup!$B$5,COUNTIF(Roster!W$7:W$26,"?*")&gt;Setup!$B$6),"CLASH","OK"))</f>
        <v/>
      </c>
      <c r="X16" s="34" t="str">
        <f aca="false">IF(OR(Roster!$A16="",Roster!X16=""),"",IF(OR(COUNTIFS(Roster!$B$7:$B$26,Roster!$B16,Roster!X$7:X$26,"?*")&gt;Setup!$B$5,COUNTIF(Roster!X$7:X$26,"?*")&gt;Setup!$B$6),"CLASH","OK"))</f>
        <v/>
      </c>
      <c r="Y16" s="34" t="str">
        <f aca="false">IF(OR(Roster!$A16="",Roster!Y16=""),"",IF(OR(COUNTIFS(Roster!$B$7:$B$26,Roster!$B16,Roster!Y$7:Y$26,"?*")&gt;Setup!$B$5,COUNTIF(Roster!Y$7:Y$26,"?*")&gt;Setup!$B$6),"CLASH","OK"))</f>
        <v/>
      </c>
      <c r="Z16" s="34" t="str">
        <f aca="false">IF(OR(Roster!$A16="",Roster!Z16=""),"",IF(OR(COUNTIFS(Roster!$B$7:$B$26,Roster!$B16,Roster!Z$7:Z$26,"?*")&gt;Setup!$B$5,COUNTIF(Roster!Z$7:Z$26,"?*")&gt;Setup!$B$6),"CLASH","OK"))</f>
        <v/>
      </c>
      <c r="AA16" s="34" t="str">
        <f aca="false">IF(OR(Roster!$A16="",Roster!AA16=""),"",IF(OR(COUNTIFS(Roster!$B$7:$B$26,Roster!$B16,Roster!AA$7:AA$26,"?*")&gt;Setup!$B$5,COUNTIF(Roster!AA$7:AA$26,"?*")&gt;Setup!$B$6),"CLASH","OK"))</f>
        <v/>
      </c>
      <c r="AB16" s="34" t="str">
        <f aca="false">IF(OR(Roster!$A16="",Roster!AB16=""),"",IF(OR(COUNTIFS(Roster!$B$7:$B$26,Roster!$B16,Roster!AB$7:AB$26,"?*")&gt;Setup!$B$5,COUNTIF(Roster!AB$7:AB$26,"?*")&gt;Setup!$B$6),"CLASH","OK"))</f>
        <v/>
      </c>
      <c r="AC16" s="34" t="str">
        <f aca="false">IF(OR(Roster!$A16="",Roster!AC16=""),"",IF(OR(COUNTIFS(Roster!$B$7:$B$26,Roster!$B16,Roster!AC$7:AC$26,"?*")&gt;Setup!$B$5,COUNTIF(Roster!AC$7:AC$26,"?*")&gt;Setup!$B$6),"CLASH","OK"))</f>
        <v/>
      </c>
      <c r="AD16" s="34" t="str">
        <f aca="false">IF(OR(Roster!$A16="",Roster!AD16=""),"",IF(OR(COUNTIFS(Roster!$B$7:$B$26,Roster!$B16,Roster!AD$7:AD$26,"?*")&gt;Setup!$B$5,COUNTIF(Roster!AD$7:AD$26,"?*")&gt;Setup!$B$6),"CLASH","OK"))</f>
        <v/>
      </c>
      <c r="AE16" s="34" t="str">
        <f aca="false">IF(OR(Roster!$A16="",Roster!AE16=""),"",IF(OR(COUNTIFS(Roster!$B$7:$B$26,Roster!$B16,Roster!AE$7:AE$26,"?*")&gt;Setup!$B$5,COUNTIF(Roster!AE$7:AE$26,"?*")&gt;Setup!$B$6),"CLASH","OK"))</f>
        <v/>
      </c>
      <c r="AF16" s="34" t="str">
        <f aca="false">IF(OR(Roster!$A16="",Roster!AF16=""),"",IF(OR(COUNTIFS(Roster!$B$7:$B$26,Roster!$B16,Roster!AF$7:AF$26,"?*")&gt;Setup!$B$5,COUNTIF(Roster!AF$7:AF$26,"?*")&gt;Setup!$B$6),"CLASH","OK"))</f>
        <v/>
      </c>
      <c r="AG16" s="34" t="str">
        <f aca="false">IF(OR(Roster!$A16="",Roster!AG16=""),"",IF(OR(COUNTIFS(Roster!$B$7:$B$26,Roster!$B16,Roster!AG$7:AG$26,"?*")&gt;Setup!$B$5,COUNTIF(Roster!AG$7:AG$26,"?*")&gt;Setup!$B$6),"CLASH","OK"))</f>
        <v/>
      </c>
      <c r="AH16" s="34" t="str">
        <f aca="false">IF(OR(Roster!$A16="",Roster!AH16=""),"",IF(OR(COUNTIFS(Roster!$B$7:$B$26,Roster!$B16,Roster!AH$7:AH$26,"?*")&gt;Setup!$B$5,COUNTIF(Roster!AH$7:AH$26,"?*")&gt;Setup!$B$6),"CLASH","OK"))</f>
        <v/>
      </c>
      <c r="AI16" s="34" t="str">
        <f aca="false">IF(OR(Roster!$A16="",Roster!AI16=""),"",IF(OR(COUNTIFS(Roster!$B$7:$B$26,Roster!$B16,Roster!AI$7:AI$26,"?*")&gt;Setup!$B$5,COUNTIF(Roster!AI$7:AI$26,"?*")&gt;Setup!$B$6),"CLASH","OK"))</f>
        <v/>
      </c>
      <c r="AJ16" s="34" t="str">
        <f aca="false">IF(OR(Roster!$A16="",Roster!AJ16=""),"",IF(OR(COUNTIFS(Roster!$B$7:$B$26,Roster!$B16,Roster!AJ$7:AJ$26,"?*")&gt;Setup!$B$5,COUNTIF(Roster!AJ$7:AJ$26,"?*")&gt;Setup!$B$6),"CLASH","OK"))</f>
        <v/>
      </c>
      <c r="AK16" s="34" t="str">
        <f aca="false">IF(OR(Roster!$A16="",Roster!AK16=""),"",IF(OR(COUNTIFS(Roster!$B$7:$B$26,Roster!$B16,Roster!AK$7:AK$26,"?*")&gt;Setup!$B$5,COUNTIF(Roster!AK$7:AK$26,"?*")&gt;Setup!$B$6),"CLASH","OK"))</f>
        <v/>
      </c>
      <c r="AL16" s="34" t="str">
        <f aca="false">IF(OR(Roster!$A16="",Roster!AL16=""),"",IF(OR(COUNTIFS(Roster!$B$7:$B$26,Roster!$B16,Roster!AL$7:AL$26,"?*")&gt;Setup!$B$5,COUNTIF(Roster!AL$7:AL$26,"?*")&gt;Setup!$B$6),"CLASH","OK"))</f>
        <v/>
      </c>
      <c r="AM16" s="34" t="str">
        <f aca="false">IF(OR(Roster!$A16="",Roster!AM16=""),"",IF(OR(COUNTIFS(Roster!$B$7:$B$26,Roster!$B16,Roster!AM$7:AM$26,"?*")&gt;Setup!$B$5,COUNTIF(Roster!AM$7:AM$26,"?*")&gt;Setup!$B$6),"CLASH","OK"))</f>
        <v/>
      </c>
      <c r="AN16" s="34" t="str">
        <f aca="false">IF(OR(Roster!$A16="",Roster!AN16=""),"",IF(OR(COUNTIFS(Roster!$B$7:$B$26,Roster!$B16,Roster!AN$7:AN$26,"?*")&gt;Setup!$B$5,COUNTIF(Roster!AN$7:AN$26,"?*")&gt;Setup!$B$6),"CLASH","OK"))</f>
        <v/>
      </c>
      <c r="AO16" s="34" t="str">
        <f aca="false">IF(OR(Roster!$A16="",Roster!AO16=""),"",IF(OR(COUNTIFS(Roster!$B$7:$B$26,Roster!$B16,Roster!AO$7:AO$26,"?*")&gt;Setup!$B$5,COUNTIF(Roster!AO$7:AO$26,"?*")&gt;Setup!$B$6),"CLASH","OK"))</f>
        <v/>
      </c>
      <c r="AP16" s="34" t="str">
        <f aca="false">IF(OR(Roster!$A16="",Roster!AP16=""),"",IF(OR(COUNTIFS(Roster!$B$7:$B$26,Roster!$B16,Roster!AP$7:AP$26,"?*")&gt;Setup!$B$5,COUNTIF(Roster!AP$7:AP$26,"?*")&gt;Setup!$B$6),"CLASH","OK"))</f>
        <v/>
      </c>
      <c r="AQ16" s="34" t="str">
        <f aca="false">IF(OR(Roster!$A16="",Roster!AQ16=""),"",IF(OR(COUNTIFS(Roster!$B$7:$B$26,Roster!$B16,Roster!AQ$7:AQ$26,"?*")&gt;Setup!$B$5,COUNTIF(Roster!AQ$7:AQ$26,"?*")&gt;Setup!$B$6),"CLASH","OK"))</f>
        <v/>
      </c>
      <c r="AR16" s="34" t="str">
        <f aca="false">IF(OR(Roster!$A16="",Roster!AR16=""),"",IF(OR(COUNTIFS(Roster!$B$7:$B$26,Roster!$B16,Roster!AR$7:AR$26,"?*")&gt;Setup!$B$5,COUNTIF(Roster!AR$7:AR$26,"?*")&gt;Setup!$B$6),"CLASH","OK"))</f>
        <v/>
      </c>
      <c r="AS16" s="34" t="str">
        <f aca="false">IF(OR(Roster!$A16="",Roster!AS16=""),"",IF(OR(COUNTIFS(Roster!$B$7:$B$26,Roster!$B16,Roster!AS$7:AS$26,"?*")&gt;Setup!$B$5,COUNTIF(Roster!AS$7:AS$26,"?*")&gt;Setup!$B$6),"CLASH","OK"))</f>
        <v/>
      </c>
      <c r="AT16" s="34" t="str">
        <f aca="false">IF(OR(Roster!$A16="",Roster!AT16=""),"",IF(OR(COUNTIFS(Roster!$B$7:$B$26,Roster!$B16,Roster!AT$7:AT$26,"?*")&gt;Setup!$B$5,COUNTIF(Roster!AT$7:AT$26,"?*")&gt;Setup!$B$6),"CLASH","OK"))</f>
        <v/>
      </c>
      <c r="AU16" s="34" t="str">
        <f aca="false">IF(OR(Roster!$A16="",Roster!AU16=""),"",IF(OR(COUNTIFS(Roster!$B$7:$B$26,Roster!$B16,Roster!AU$7:AU$26,"?*")&gt;Setup!$B$5,COUNTIF(Roster!AU$7:AU$26,"?*")&gt;Setup!$B$6),"CLASH","OK"))</f>
        <v/>
      </c>
      <c r="AV16" s="34" t="str">
        <f aca="false">IF(OR(Roster!$A16="",Roster!AV16=""),"",IF(OR(COUNTIFS(Roster!$B$7:$B$26,Roster!$B16,Roster!AV$7:AV$26,"?*")&gt;Setup!$B$5,COUNTIF(Roster!AV$7:AV$26,"?*")&gt;Setup!$B$6),"CLASH","OK"))</f>
        <v/>
      </c>
      <c r="AW16" s="34" t="str">
        <f aca="false">IF(OR(Roster!$A16="",Roster!AW16=""),"",IF(OR(COUNTIFS(Roster!$B$7:$B$26,Roster!$B16,Roster!AW$7:AW$26,"?*")&gt;Setup!$B$5,COUNTIF(Roster!AW$7:AW$26,"?*")&gt;Setup!$B$6),"CLASH","OK"))</f>
        <v/>
      </c>
      <c r="AX16" s="34" t="str">
        <f aca="false">IF(OR(Roster!$A16="",Roster!AX16=""),"",IF(OR(COUNTIFS(Roster!$B$7:$B$26,Roster!$B16,Roster!AX$7:AX$26,"?*")&gt;Setup!$B$5,COUNTIF(Roster!AX$7:AX$26,"?*")&gt;Setup!$B$6),"CLASH","OK"))</f>
        <v/>
      </c>
      <c r="AY16" s="34" t="str">
        <f aca="false">IF(OR(Roster!$A16="",Roster!AY16=""),"",IF(OR(COUNTIFS(Roster!$B$7:$B$26,Roster!$B16,Roster!AY$7:AY$26,"?*")&gt;Setup!$B$5,COUNTIF(Roster!AY$7:AY$26,"?*")&gt;Setup!$B$6),"CLASH","OK"))</f>
        <v/>
      </c>
      <c r="AZ16" s="34" t="str">
        <f aca="false">IF(OR(Roster!$A16="",Roster!AZ16=""),"",IF(OR(COUNTIFS(Roster!$B$7:$B$26,Roster!$B16,Roster!AZ$7:AZ$26,"?*")&gt;Setup!$B$5,COUNTIF(Roster!AZ$7:AZ$26,"?*")&gt;Setup!$B$6),"CLASH","OK"))</f>
        <v/>
      </c>
      <c r="BA16" s="34" t="str">
        <f aca="false">IF(OR(Roster!$A16="",Roster!BA16=""),"",IF(OR(COUNTIFS(Roster!$B$7:$B$26,Roster!$B16,Roster!BA$7:BA$26,"?*")&gt;Setup!$B$5,COUNTIF(Roster!BA$7:BA$26,"?*")&gt;Setup!$B$6),"CLASH","OK"))</f>
        <v/>
      </c>
      <c r="BB16" s="34" t="str">
        <f aca="false">IF(OR(Roster!$A16="",Roster!BB16=""),"",IF(OR(COUNTIFS(Roster!$B$7:$B$26,Roster!$B16,Roster!BB$7:BB$26,"?*")&gt;Setup!$B$5,COUNTIF(Roster!BB$7:BB$26,"?*")&gt;Setup!$B$6),"CLASH","OK"))</f>
        <v/>
      </c>
      <c r="BC16" s="34" t="str">
        <f aca="false">IF(OR(Roster!$A16="",Roster!BC16=""),"",IF(OR(COUNTIFS(Roster!$B$7:$B$26,Roster!$B16,Roster!BC$7:BC$26,"?*")&gt;Setup!$B$5,COUNTIF(Roster!BC$7:BC$26,"?*")&gt;Setup!$B$6),"CLASH","OK"))</f>
        <v/>
      </c>
      <c r="BD16" s="34" t="str">
        <f aca="false">IF(OR(Roster!$A16="",Roster!BD16=""),"",IF(OR(COUNTIFS(Roster!$B$7:$B$26,Roster!$B16,Roster!BD$7:BD$26,"?*")&gt;Setup!$B$5,COUNTIF(Roster!BD$7:BD$26,"?*")&gt;Setup!$B$6),"CLASH","OK"))</f>
        <v/>
      </c>
      <c r="BE16" s="34" t="str">
        <f aca="false">IF(OR(Roster!$A16="",Roster!BE16=""),"",IF(OR(COUNTIFS(Roster!$B$7:$B$26,Roster!$B16,Roster!BE$7:BE$26,"?*")&gt;Setup!$B$5,COUNTIF(Roster!BE$7:BE$26,"?*")&gt;Setup!$B$6),"CLASH","OK"))</f>
        <v/>
      </c>
      <c r="BF16" s="34" t="str">
        <f aca="false">IF(OR(Roster!$A16="",Roster!BF16=""),"",IF(OR(COUNTIFS(Roster!$B$7:$B$26,Roster!$B16,Roster!BF$7:BF$26,"?*")&gt;Setup!$B$5,COUNTIF(Roster!BF$7:BF$26,"?*")&gt;Setup!$B$6),"CLASH","OK"))</f>
        <v/>
      </c>
      <c r="BG16" s="34" t="str">
        <f aca="false">IF(OR(Roster!$A16="",Roster!BG16=""),"",IF(OR(COUNTIFS(Roster!$B$7:$B$26,Roster!$B16,Roster!BG$7:BG$26,"?*")&gt;Setup!$B$5,COUNTIF(Roster!BG$7:BG$26,"?*")&gt;Setup!$B$6),"CLASH","OK"))</f>
        <v/>
      </c>
      <c r="BH16" s="34" t="str">
        <f aca="false">IF(OR(Roster!$A16="",Roster!BH16=""),"",IF(OR(COUNTIFS(Roster!$B$7:$B$26,Roster!$B16,Roster!BH$7:BH$26,"?*")&gt;Setup!$B$5,COUNTIF(Roster!BH$7:BH$26,"?*")&gt;Setup!$B$6),"CLASH","OK"))</f>
        <v/>
      </c>
      <c r="BI16" s="34" t="str">
        <f aca="false">IF(OR(Roster!$A16="",Roster!BI16=""),"",IF(OR(COUNTIFS(Roster!$B$7:$B$26,Roster!$B16,Roster!BI$7:BI$26,"?*")&gt;Setup!$B$5,COUNTIF(Roster!BI$7:BI$26,"?*")&gt;Setup!$B$6),"CLASH","OK"))</f>
        <v/>
      </c>
      <c r="BJ16" s="34" t="str">
        <f aca="false">IF(OR(Roster!$A16="",Roster!BJ16=""),"",IF(OR(COUNTIFS(Roster!$B$7:$B$26,Roster!$B16,Roster!BJ$7:BJ$26,"?*")&gt;Setup!$B$5,COUNTIF(Roster!BJ$7:BJ$26,"?*")&gt;Setup!$B$6),"CLASH","OK"))</f>
        <v/>
      </c>
      <c r="BK16" s="34" t="str">
        <f aca="false">IF(OR(Roster!$A16="",Roster!BK16=""),"",IF(OR(COUNTIFS(Roster!$B$7:$B$26,Roster!$B16,Roster!BK$7:BK$26,"?*")&gt;Setup!$B$5,COUNTIF(Roster!BK$7:BK$26,"?*")&gt;Setup!$B$6),"CLASH","OK"))</f>
        <v/>
      </c>
      <c r="BL16" s="34" t="str">
        <f aca="false">IF(OR(Roster!$A16="",Roster!BL16=""),"",IF(OR(COUNTIFS(Roster!$B$7:$B$26,Roster!$B16,Roster!BL$7:BL$26,"?*")&gt;Setup!$B$5,COUNTIF(Roster!BL$7:BL$26,"?*")&gt;Setup!$B$6),"CLASH","OK"))</f>
        <v/>
      </c>
      <c r="BM16" s="34" t="str">
        <f aca="false">IF(OR(Roster!$A16="",Roster!BM16=""),"",IF(OR(COUNTIFS(Roster!$B$7:$B$26,Roster!$B16,Roster!BM$7:BM$26,"?*")&gt;Setup!$B$5,COUNTIF(Roster!BM$7:BM$26,"?*")&gt;Setup!$B$6),"CLASH","OK"))</f>
        <v/>
      </c>
      <c r="BN16" s="34" t="str">
        <f aca="false">IF(OR(Roster!$A16="",Roster!BN16=""),"",IF(OR(COUNTIFS(Roster!$B$7:$B$26,Roster!$B16,Roster!BN$7:BN$26,"?*")&gt;Setup!$B$5,COUNTIF(Roster!BN$7:BN$26,"?*")&gt;Setup!$B$6),"CLASH","OK"))</f>
        <v/>
      </c>
      <c r="BO16" s="34" t="str">
        <f aca="false">IF(OR(Roster!$A16="",Roster!BO16=""),"",IF(OR(COUNTIFS(Roster!$B$7:$B$26,Roster!$B16,Roster!BO$7:BO$26,"?*")&gt;Setup!$B$5,COUNTIF(Roster!BO$7:BO$26,"?*")&gt;Setup!$B$6),"CLASH","OK"))</f>
        <v/>
      </c>
      <c r="BP16" s="34" t="str">
        <f aca="false">IF(OR(Roster!$A16="",Roster!BP16=""),"",IF(OR(COUNTIFS(Roster!$B$7:$B$26,Roster!$B16,Roster!BP$7:BP$26,"?*")&gt;Setup!$B$5,COUNTIF(Roster!BP$7:BP$26,"?*")&gt;Setup!$B$6),"CLASH","OK"))</f>
        <v/>
      </c>
      <c r="BQ16" s="34" t="str">
        <f aca="false">IF(OR(Roster!$A16="",Roster!BQ16=""),"",IF(OR(COUNTIFS(Roster!$B$7:$B$26,Roster!$B16,Roster!BQ$7:BQ$26,"?*")&gt;Setup!$B$5,COUNTIF(Roster!BQ$7:BQ$26,"?*")&gt;Setup!$B$6),"CLASH","OK"))</f>
        <v/>
      </c>
      <c r="BR16" s="34" t="str">
        <f aca="false">IF(OR(Roster!$A16="",Roster!BR16=""),"",IF(OR(COUNTIFS(Roster!$B$7:$B$26,Roster!$B16,Roster!BR$7:BR$26,"?*")&gt;Setup!$B$5,COUNTIF(Roster!BR$7:BR$26,"?*")&gt;Setup!$B$6),"CLASH","OK"))</f>
        <v/>
      </c>
      <c r="BS16" s="34" t="str">
        <f aca="false">IF(OR(Roster!$A16="",Roster!BS16=""),"",IF(OR(COUNTIFS(Roster!$B$7:$B$26,Roster!$B16,Roster!BS$7:BS$26,"?*")&gt;Setup!$B$5,COUNTIF(Roster!BS$7:BS$26,"?*")&gt;Setup!$B$6),"CLASH","OK"))</f>
        <v/>
      </c>
      <c r="BT16" s="34" t="str">
        <f aca="false">IF(OR(Roster!$A16="",Roster!BT16=""),"",IF(OR(COUNTIFS(Roster!$B$7:$B$26,Roster!$B16,Roster!BT$7:BT$26,"?*")&gt;Setup!$B$5,COUNTIF(Roster!BT$7:BT$26,"?*")&gt;Setup!$B$6),"CLASH","OK"))</f>
        <v/>
      </c>
      <c r="BU16" s="34" t="str">
        <f aca="false">IF(OR(Roster!$A16="",Roster!BU16=""),"",IF(OR(COUNTIFS(Roster!$B$7:$B$26,Roster!$B16,Roster!BU$7:BU$26,"?*")&gt;Setup!$B$5,COUNTIF(Roster!BU$7:BU$26,"?*")&gt;Setup!$B$6),"CLASH","OK"))</f>
        <v/>
      </c>
      <c r="BV16" s="34" t="str">
        <f aca="false">IF(OR(Roster!$A16="",Roster!BV16=""),"",IF(OR(COUNTIFS(Roster!$B$7:$B$26,Roster!$B16,Roster!BV$7:BV$26,"?*")&gt;Setup!$B$5,COUNTIF(Roster!BV$7:BV$26,"?*")&gt;Setup!$B$6),"CLASH","OK"))</f>
        <v/>
      </c>
      <c r="BW16" s="34" t="str">
        <f aca="false">IF(OR(Roster!$A16="",Roster!BW16=""),"",IF(OR(COUNTIFS(Roster!$B$7:$B$26,Roster!$B16,Roster!BW$7:BW$26,"?*")&gt;Setup!$B$5,COUNTIF(Roster!BW$7:BW$26,"?*")&gt;Setup!$B$6),"CLASH","OK"))</f>
        <v/>
      </c>
      <c r="BX16" s="34" t="str">
        <f aca="false">IF(OR(Roster!$A16="",Roster!BX16=""),"",IF(OR(COUNTIFS(Roster!$B$7:$B$26,Roster!$B16,Roster!BX$7:BX$26,"?*")&gt;Setup!$B$5,COUNTIF(Roster!BX$7:BX$26,"?*")&gt;Setup!$B$6),"CLASH","OK"))</f>
        <v/>
      </c>
      <c r="BY16" s="34" t="str">
        <f aca="false">IF(OR(Roster!$A16="",Roster!BY16=""),"",IF(OR(COUNTIFS(Roster!$B$7:$B$26,Roster!$B16,Roster!BY$7:BY$26,"?*")&gt;Setup!$B$5,COUNTIF(Roster!BY$7:BY$26,"?*")&gt;Setup!$B$6),"CLASH","OK"))</f>
        <v/>
      </c>
      <c r="BZ16" s="34" t="str">
        <f aca="false">IF(OR(Roster!$A16="",Roster!BZ16=""),"",IF(OR(COUNTIFS(Roster!$B$7:$B$26,Roster!$B16,Roster!BZ$7:BZ$26,"?*")&gt;Setup!$B$5,COUNTIF(Roster!BZ$7:BZ$26,"?*")&gt;Setup!$B$6),"CLASH","OK"))</f>
        <v/>
      </c>
      <c r="CA16" s="34" t="str">
        <f aca="false">IF(OR(Roster!$A16="",Roster!CA16=""),"",IF(OR(COUNTIFS(Roster!$B$7:$B$26,Roster!$B16,Roster!CA$7:CA$26,"?*")&gt;Setup!$B$5,COUNTIF(Roster!CA$7:CA$26,"?*")&gt;Setup!$B$6),"CLASH","OK"))</f>
        <v/>
      </c>
      <c r="CB16" s="34" t="str">
        <f aca="false">IF(OR(Roster!$A16="",Roster!CB16=""),"",IF(OR(COUNTIFS(Roster!$B$7:$B$26,Roster!$B16,Roster!CB$7:CB$26,"?*")&gt;Setup!$B$5,COUNTIF(Roster!CB$7:CB$26,"?*")&gt;Setup!$B$6),"CLASH","OK"))</f>
        <v/>
      </c>
      <c r="CC16" s="34" t="str">
        <f aca="false">IF(OR(Roster!$A16="",Roster!CC16=""),"",IF(OR(COUNTIFS(Roster!$B$7:$B$26,Roster!$B16,Roster!CC$7:CC$26,"?*")&gt;Setup!$B$5,COUNTIF(Roster!CC$7:CC$26,"?*")&gt;Setup!$B$6),"CLASH","OK"))</f>
        <v/>
      </c>
      <c r="CD16" s="34" t="str">
        <f aca="false">IF(OR(Roster!$A16="",Roster!CD16=""),"",IF(OR(COUNTIFS(Roster!$B$7:$B$26,Roster!$B16,Roster!CD$7:CD$26,"?*")&gt;Setup!$B$5,COUNTIF(Roster!CD$7:CD$26,"?*")&gt;Setup!$B$6),"CLASH","OK"))</f>
        <v/>
      </c>
      <c r="CE16" s="34" t="str">
        <f aca="false">IF(OR(Roster!$A16="",Roster!CE16=""),"",IF(OR(COUNTIFS(Roster!$B$7:$B$26,Roster!$B16,Roster!CE$7:CE$26,"?*")&gt;Setup!$B$5,COUNTIF(Roster!CE$7:CE$26,"?*")&gt;Setup!$B$6),"CLASH","OK"))</f>
        <v/>
      </c>
      <c r="CF16" s="34" t="str">
        <f aca="false">IF(OR(Roster!$A16="",Roster!CF16=""),"",IF(OR(COUNTIFS(Roster!$B$7:$B$26,Roster!$B16,Roster!CF$7:CF$26,"?*")&gt;Setup!$B$5,COUNTIF(Roster!CF$7:CF$26,"?*")&gt;Setup!$B$6),"CLASH","OK"))</f>
        <v/>
      </c>
      <c r="CG16" s="34" t="str">
        <f aca="false">IF(OR(Roster!$A16="",Roster!CG16=""),"",IF(OR(COUNTIFS(Roster!$B$7:$B$26,Roster!$B16,Roster!CG$7:CG$26,"?*")&gt;Setup!$B$5,COUNTIF(Roster!CG$7:CG$26,"?*")&gt;Setup!$B$6),"CLASH","OK"))</f>
        <v/>
      </c>
      <c r="CH16" s="34" t="str">
        <f aca="false">IF(OR(Roster!$A16="",Roster!CH16=""),"",IF(OR(COUNTIFS(Roster!$B$7:$B$26,Roster!$B16,Roster!CH$7:CH$26,"?*")&gt;Setup!$B$5,COUNTIF(Roster!CH$7:CH$26,"?*")&gt;Setup!$B$6),"CLASH","OK"))</f>
        <v/>
      </c>
      <c r="CI16" s="34" t="str">
        <f aca="false">IF(OR(Roster!$A16="",Roster!CI16=""),"",IF(OR(COUNTIFS(Roster!$B$7:$B$26,Roster!$B16,Roster!CI$7:CI$26,"?*")&gt;Setup!$B$5,COUNTIF(Roster!CI$7:CI$26,"?*")&gt;Setup!$B$6),"CLASH","OK"))</f>
        <v/>
      </c>
      <c r="CJ16" s="34" t="str">
        <f aca="false">IF(OR(Roster!$A16="",Roster!CJ16=""),"",IF(OR(COUNTIFS(Roster!$B$7:$B$26,Roster!$B16,Roster!CJ$7:CJ$26,"?*")&gt;Setup!$B$5,COUNTIF(Roster!CJ$7:CJ$26,"?*")&gt;Setup!$B$6),"CLASH","OK"))</f>
        <v/>
      </c>
      <c r="CK16" s="34" t="str">
        <f aca="false">IF(OR(Roster!$A16="",Roster!CK16=""),"",IF(OR(COUNTIFS(Roster!$B$7:$B$26,Roster!$B16,Roster!CK$7:CK$26,"?*")&gt;Setup!$B$5,COUNTIF(Roster!CK$7:CK$26,"?*")&gt;Setup!$B$6),"CLASH","OK"))</f>
        <v/>
      </c>
      <c r="CL16" s="34" t="str">
        <f aca="false">IF(OR(Roster!$A16="",Roster!CL16=""),"",IF(OR(COUNTIFS(Roster!$B$7:$B$26,Roster!$B16,Roster!CL$7:CL$26,"?*")&gt;Setup!$B$5,COUNTIF(Roster!CL$7:CL$26,"?*")&gt;Setup!$B$6),"CLASH","OK"))</f>
        <v/>
      </c>
      <c r="CM16" s="34" t="str">
        <f aca="false">IF(OR(Roster!$A16="",Roster!CM16=""),"",IF(OR(COUNTIFS(Roster!$B$7:$B$26,Roster!$B16,Roster!CM$7:CM$26,"?*")&gt;Setup!$B$5,COUNTIF(Roster!CM$7:CM$26,"?*")&gt;Setup!$B$6),"CLASH","OK"))</f>
        <v/>
      </c>
      <c r="CN16" s="34" t="str">
        <f aca="false">IF(OR(Roster!$A16="",Roster!CN16=""),"",IF(OR(COUNTIFS(Roster!$B$7:$B$26,Roster!$B16,Roster!CN$7:CN$26,"?*")&gt;Setup!$B$5,COUNTIF(Roster!CN$7:CN$26,"?*")&gt;Setup!$B$6),"CLASH","OK"))</f>
        <v/>
      </c>
      <c r="CO16" s="34" t="str">
        <f aca="false">IF(OR(Roster!$A16="",Roster!CO16=""),"",IF(OR(COUNTIFS(Roster!$B$7:$B$26,Roster!$B16,Roster!CO$7:CO$26,"?*")&gt;Setup!$B$5,COUNTIF(Roster!CO$7:CO$26,"?*")&gt;Setup!$B$6),"CLASH","OK"))</f>
        <v/>
      </c>
      <c r="CP16" s="34" t="str">
        <f aca="false">IF(OR(Roster!$A16="",Roster!CP16=""),"",IF(OR(COUNTIFS(Roster!$B$7:$B$26,Roster!$B16,Roster!CP$7:CP$26,"?*")&gt;Setup!$B$5,COUNTIF(Roster!CP$7:CP$26,"?*")&gt;Setup!$B$6),"CLASH","OK"))</f>
        <v/>
      </c>
      <c r="CQ16" s="34" t="str">
        <f aca="false">IF(OR(Roster!$A16="",Roster!CQ16=""),"",IF(OR(COUNTIFS(Roster!$B$7:$B$26,Roster!$B16,Roster!CQ$7:CQ$26,"?*")&gt;Setup!$B$5,COUNTIF(Roster!CQ$7:CQ$26,"?*")&gt;Setup!$B$6),"CLASH","OK"))</f>
        <v/>
      </c>
      <c r="CR16" s="34" t="str">
        <f aca="false">IF(OR(Roster!$A16="",Roster!CR16=""),"",IF(OR(COUNTIFS(Roster!$B$7:$B$26,Roster!$B16,Roster!CR$7:CR$26,"?*")&gt;Setup!$B$5,COUNTIF(Roster!CR$7:CR$26,"?*")&gt;Setup!$B$6),"CLASH","OK"))</f>
        <v/>
      </c>
      <c r="CS16" s="34" t="str">
        <f aca="false">IF(OR(Roster!$A16="",Roster!CS16=""),"",IF(OR(COUNTIFS(Roster!$B$7:$B$26,Roster!$B16,Roster!CS$7:CS$26,"?*")&gt;Setup!$B$5,COUNTIF(Roster!CS$7:CS$26,"?*")&gt;Setup!$B$6),"CLASH","OK"))</f>
        <v/>
      </c>
      <c r="CT16" s="34" t="str">
        <f aca="false">IF(OR(Roster!$A16="",Roster!CT16=""),"",IF(OR(COUNTIFS(Roster!$B$7:$B$26,Roster!$B16,Roster!CT$7:CT$26,"?*")&gt;Setup!$B$5,COUNTIF(Roster!CT$7:CT$26,"?*")&gt;Setup!$B$6),"CLASH","OK"))</f>
        <v/>
      </c>
      <c r="CU16" s="34" t="str">
        <f aca="false">IF(OR(Roster!$A16="",Roster!CU16=""),"",IF(OR(COUNTIFS(Roster!$B$7:$B$26,Roster!$B16,Roster!CU$7:CU$26,"?*")&gt;Setup!$B$5,COUNTIF(Roster!CU$7:CU$26,"?*")&gt;Setup!$B$6),"CLASH","OK"))</f>
        <v/>
      </c>
    </row>
    <row r="17" customFormat="false" ht="15" hidden="false" customHeight="false" outlineLevel="0" collapsed="false">
      <c r="A17" s="33" t="str">
        <f aca="false">IF(Roster!A17="","",Roster!A17)</f>
        <v/>
      </c>
      <c r="B17" s="33" t="str">
        <f aca="false">IF(Roster!A17="","",Roster!B17)</f>
        <v/>
      </c>
      <c r="H17" s="34" t="str">
        <f aca="false">IF(OR(Roster!$A17="",Roster!H17=""),"",IF(OR(COUNTIFS(Roster!$B$7:$B$26,Roster!$B17,Roster!H$7:H$26,"?*")&gt;Setup!$B$5,COUNTIF(Roster!H$7:H$26,"?*")&gt;Setup!$B$6),"CLASH","OK"))</f>
        <v/>
      </c>
      <c r="I17" s="34" t="str">
        <f aca="false">IF(OR(Roster!$A17="",Roster!I17=""),"",IF(OR(COUNTIFS(Roster!$B$7:$B$26,Roster!$B17,Roster!I$7:I$26,"?*")&gt;Setup!$B$5,COUNTIF(Roster!I$7:I$26,"?*")&gt;Setup!$B$6),"CLASH","OK"))</f>
        <v/>
      </c>
      <c r="J17" s="34" t="str">
        <f aca="false">IF(OR(Roster!$A17="",Roster!J17=""),"",IF(OR(COUNTIFS(Roster!$B$7:$B$26,Roster!$B17,Roster!J$7:J$26,"?*")&gt;Setup!$B$5,COUNTIF(Roster!J$7:J$26,"?*")&gt;Setup!$B$6),"CLASH","OK"))</f>
        <v/>
      </c>
      <c r="K17" s="34" t="str">
        <f aca="false">IF(OR(Roster!$A17="",Roster!K17=""),"",IF(OR(COUNTIFS(Roster!$B$7:$B$26,Roster!$B17,Roster!K$7:K$26,"?*")&gt;Setup!$B$5,COUNTIF(Roster!K$7:K$26,"?*")&gt;Setup!$B$6),"CLASH","OK"))</f>
        <v/>
      </c>
      <c r="L17" s="34" t="str">
        <f aca="false">IF(OR(Roster!$A17="",Roster!L17=""),"",IF(OR(COUNTIFS(Roster!$B$7:$B$26,Roster!$B17,Roster!L$7:L$26,"?*")&gt;Setup!$B$5,COUNTIF(Roster!L$7:L$26,"?*")&gt;Setup!$B$6),"CLASH","OK"))</f>
        <v/>
      </c>
      <c r="M17" s="34" t="str">
        <f aca="false">IF(OR(Roster!$A17="",Roster!M17=""),"",IF(OR(COUNTIFS(Roster!$B$7:$B$26,Roster!$B17,Roster!M$7:M$26,"?*")&gt;Setup!$B$5,COUNTIF(Roster!M$7:M$26,"?*")&gt;Setup!$B$6),"CLASH","OK"))</f>
        <v/>
      </c>
      <c r="N17" s="34" t="str">
        <f aca="false">IF(OR(Roster!$A17="",Roster!N17=""),"",IF(OR(COUNTIFS(Roster!$B$7:$B$26,Roster!$B17,Roster!N$7:N$26,"?*")&gt;Setup!$B$5,COUNTIF(Roster!N$7:N$26,"?*")&gt;Setup!$B$6),"CLASH","OK"))</f>
        <v/>
      </c>
      <c r="O17" s="34" t="str">
        <f aca="false">IF(OR(Roster!$A17="",Roster!O17=""),"",IF(OR(COUNTIFS(Roster!$B$7:$B$26,Roster!$B17,Roster!O$7:O$26,"?*")&gt;Setup!$B$5,COUNTIF(Roster!O$7:O$26,"?*")&gt;Setup!$B$6),"CLASH","OK"))</f>
        <v/>
      </c>
      <c r="P17" s="34" t="str">
        <f aca="false">IF(OR(Roster!$A17="",Roster!P17=""),"",IF(OR(COUNTIFS(Roster!$B$7:$B$26,Roster!$B17,Roster!P$7:P$26,"?*")&gt;Setup!$B$5,COUNTIF(Roster!P$7:P$26,"?*")&gt;Setup!$B$6),"CLASH","OK"))</f>
        <v/>
      </c>
      <c r="Q17" s="34" t="str">
        <f aca="false">IF(OR(Roster!$A17="",Roster!Q17=""),"",IF(OR(COUNTIFS(Roster!$B$7:$B$26,Roster!$B17,Roster!Q$7:Q$26,"?*")&gt;Setup!$B$5,COUNTIF(Roster!Q$7:Q$26,"?*")&gt;Setup!$B$6),"CLASH","OK"))</f>
        <v/>
      </c>
      <c r="R17" s="34" t="str">
        <f aca="false">IF(OR(Roster!$A17="",Roster!R17=""),"",IF(OR(COUNTIFS(Roster!$B$7:$B$26,Roster!$B17,Roster!R$7:R$26,"?*")&gt;Setup!$B$5,COUNTIF(Roster!R$7:R$26,"?*")&gt;Setup!$B$6),"CLASH","OK"))</f>
        <v/>
      </c>
      <c r="S17" s="34" t="str">
        <f aca="false">IF(OR(Roster!$A17="",Roster!S17=""),"",IF(OR(COUNTIFS(Roster!$B$7:$B$26,Roster!$B17,Roster!S$7:S$26,"?*")&gt;Setup!$B$5,COUNTIF(Roster!S$7:S$26,"?*")&gt;Setup!$B$6),"CLASH","OK"))</f>
        <v/>
      </c>
      <c r="T17" s="34" t="str">
        <f aca="false">IF(OR(Roster!$A17="",Roster!T17=""),"",IF(OR(COUNTIFS(Roster!$B$7:$B$26,Roster!$B17,Roster!T$7:T$26,"?*")&gt;Setup!$B$5,COUNTIF(Roster!T$7:T$26,"?*")&gt;Setup!$B$6),"CLASH","OK"))</f>
        <v/>
      </c>
      <c r="U17" s="34" t="str">
        <f aca="false">IF(OR(Roster!$A17="",Roster!U17=""),"",IF(OR(COUNTIFS(Roster!$B$7:$B$26,Roster!$B17,Roster!U$7:U$26,"?*")&gt;Setup!$B$5,COUNTIF(Roster!U$7:U$26,"?*")&gt;Setup!$B$6),"CLASH","OK"))</f>
        <v/>
      </c>
      <c r="V17" s="34" t="str">
        <f aca="false">IF(OR(Roster!$A17="",Roster!V17=""),"",IF(OR(COUNTIFS(Roster!$B$7:$B$26,Roster!$B17,Roster!V$7:V$26,"?*")&gt;Setup!$B$5,COUNTIF(Roster!V$7:V$26,"?*")&gt;Setup!$B$6),"CLASH","OK"))</f>
        <v/>
      </c>
      <c r="W17" s="34" t="str">
        <f aca="false">IF(OR(Roster!$A17="",Roster!W17=""),"",IF(OR(COUNTIFS(Roster!$B$7:$B$26,Roster!$B17,Roster!W$7:W$26,"?*")&gt;Setup!$B$5,COUNTIF(Roster!W$7:W$26,"?*")&gt;Setup!$B$6),"CLASH","OK"))</f>
        <v/>
      </c>
      <c r="X17" s="34" t="str">
        <f aca="false">IF(OR(Roster!$A17="",Roster!X17=""),"",IF(OR(COUNTIFS(Roster!$B$7:$B$26,Roster!$B17,Roster!X$7:X$26,"?*")&gt;Setup!$B$5,COUNTIF(Roster!X$7:X$26,"?*")&gt;Setup!$B$6),"CLASH","OK"))</f>
        <v/>
      </c>
      <c r="Y17" s="34" t="str">
        <f aca="false">IF(OR(Roster!$A17="",Roster!Y17=""),"",IF(OR(COUNTIFS(Roster!$B$7:$B$26,Roster!$B17,Roster!Y$7:Y$26,"?*")&gt;Setup!$B$5,COUNTIF(Roster!Y$7:Y$26,"?*")&gt;Setup!$B$6),"CLASH","OK"))</f>
        <v/>
      </c>
      <c r="Z17" s="34" t="str">
        <f aca="false">IF(OR(Roster!$A17="",Roster!Z17=""),"",IF(OR(COUNTIFS(Roster!$B$7:$B$26,Roster!$B17,Roster!Z$7:Z$26,"?*")&gt;Setup!$B$5,COUNTIF(Roster!Z$7:Z$26,"?*")&gt;Setup!$B$6),"CLASH","OK"))</f>
        <v/>
      </c>
      <c r="AA17" s="34" t="str">
        <f aca="false">IF(OR(Roster!$A17="",Roster!AA17=""),"",IF(OR(COUNTIFS(Roster!$B$7:$B$26,Roster!$B17,Roster!AA$7:AA$26,"?*")&gt;Setup!$B$5,COUNTIF(Roster!AA$7:AA$26,"?*")&gt;Setup!$B$6),"CLASH","OK"))</f>
        <v/>
      </c>
      <c r="AB17" s="34" t="str">
        <f aca="false">IF(OR(Roster!$A17="",Roster!AB17=""),"",IF(OR(COUNTIFS(Roster!$B$7:$B$26,Roster!$B17,Roster!AB$7:AB$26,"?*")&gt;Setup!$B$5,COUNTIF(Roster!AB$7:AB$26,"?*")&gt;Setup!$B$6),"CLASH","OK"))</f>
        <v/>
      </c>
      <c r="AC17" s="34" t="str">
        <f aca="false">IF(OR(Roster!$A17="",Roster!AC17=""),"",IF(OR(COUNTIFS(Roster!$B$7:$B$26,Roster!$B17,Roster!AC$7:AC$26,"?*")&gt;Setup!$B$5,COUNTIF(Roster!AC$7:AC$26,"?*")&gt;Setup!$B$6),"CLASH","OK"))</f>
        <v/>
      </c>
      <c r="AD17" s="34" t="str">
        <f aca="false">IF(OR(Roster!$A17="",Roster!AD17=""),"",IF(OR(COUNTIFS(Roster!$B$7:$B$26,Roster!$B17,Roster!AD$7:AD$26,"?*")&gt;Setup!$B$5,COUNTIF(Roster!AD$7:AD$26,"?*")&gt;Setup!$B$6),"CLASH","OK"))</f>
        <v/>
      </c>
      <c r="AE17" s="34" t="str">
        <f aca="false">IF(OR(Roster!$A17="",Roster!AE17=""),"",IF(OR(COUNTIFS(Roster!$B$7:$B$26,Roster!$B17,Roster!AE$7:AE$26,"?*")&gt;Setup!$B$5,COUNTIF(Roster!AE$7:AE$26,"?*")&gt;Setup!$B$6),"CLASH","OK"))</f>
        <v/>
      </c>
      <c r="AF17" s="34" t="str">
        <f aca="false">IF(OR(Roster!$A17="",Roster!AF17=""),"",IF(OR(COUNTIFS(Roster!$B$7:$B$26,Roster!$B17,Roster!AF$7:AF$26,"?*")&gt;Setup!$B$5,COUNTIF(Roster!AF$7:AF$26,"?*")&gt;Setup!$B$6),"CLASH","OK"))</f>
        <v/>
      </c>
      <c r="AG17" s="34" t="str">
        <f aca="false">IF(OR(Roster!$A17="",Roster!AG17=""),"",IF(OR(COUNTIFS(Roster!$B$7:$B$26,Roster!$B17,Roster!AG$7:AG$26,"?*")&gt;Setup!$B$5,COUNTIF(Roster!AG$7:AG$26,"?*")&gt;Setup!$B$6),"CLASH","OK"))</f>
        <v/>
      </c>
      <c r="AH17" s="34" t="str">
        <f aca="false">IF(OR(Roster!$A17="",Roster!AH17=""),"",IF(OR(COUNTIFS(Roster!$B$7:$B$26,Roster!$B17,Roster!AH$7:AH$26,"?*")&gt;Setup!$B$5,COUNTIF(Roster!AH$7:AH$26,"?*")&gt;Setup!$B$6),"CLASH","OK"))</f>
        <v/>
      </c>
      <c r="AI17" s="34" t="str">
        <f aca="false">IF(OR(Roster!$A17="",Roster!AI17=""),"",IF(OR(COUNTIFS(Roster!$B$7:$B$26,Roster!$B17,Roster!AI$7:AI$26,"?*")&gt;Setup!$B$5,COUNTIF(Roster!AI$7:AI$26,"?*")&gt;Setup!$B$6),"CLASH","OK"))</f>
        <v/>
      </c>
      <c r="AJ17" s="34" t="str">
        <f aca="false">IF(OR(Roster!$A17="",Roster!AJ17=""),"",IF(OR(COUNTIFS(Roster!$B$7:$B$26,Roster!$B17,Roster!AJ$7:AJ$26,"?*")&gt;Setup!$B$5,COUNTIF(Roster!AJ$7:AJ$26,"?*")&gt;Setup!$B$6),"CLASH","OK"))</f>
        <v/>
      </c>
      <c r="AK17" s="34" t="str">
        <f aca="false">IF(OR(Roster!$A17="",Roster!AK17=""),"",IF(OR(COUNTIFS(Roster!$B$7:$B$26,Roster!$B17,Roster!AK$7:AK$26,"?*")&gt;Setup!$B$5,COUNTIF(Roster!AK$7:AK$26,"?*")&gt;Setup!$B$6),"CLASH","OK"))</f>
        <v/>
      </c>
      <c r="AL17" s="34" t="str">
        <f aca="false">IF(OR(Roster!$A17="",Roster!AL17=""),"",IF(OR(COUNTIFS(Roster!$B$7:$B$26,Roster!$B17,Roster!AL$7:AL$26,"?*")&gt;Setup!$B$5,COUNTIF(Roster!AL$7:AL$26,"?*")&gt;Setup!$B$6),"CLASH","OK"))</f>
        <v/>
      </c>
      <c r="AM17" s="34" t="str">
        <f aca="false">IF(OR(Roster!$A17="",Roster!AM17=""),"",IF(OR(COUNTIFS(Roster!$B$7:$B$26,Roster!$B17,Roster!AM$7:AM$26,"?*")&gt;Setup!$B$5,COUNTIF(Roster!AM$7:AM$26,"?*")&gt;Setup!$B$6),"CLASH","OK"))</f>
        <v/>
      </c>
      <c r="AN17" s="34" t="str">
        <f aca="false">IF(OR(Roster!$A17="",Roster!AN17=""),"",IF(OR(COUNTIFS(Roster!$B$7:$B$26,Roster!$B17,Roster!AN$7:AN$26,"?*")&gt;Setup!$B$5,COUNTIF(Roster!AN$7:AN$26,"?*")&gt;Setup!$B$6),"CLASH","OK"))</f>
        <v/>
      </c>
      <c r="AO17" s="34" t="str">
        <f aca="false">IF(OR(Roster!$A17="",Roster!AO17=""),"",IF(OR(COUNTIFS(Roster!$B$7:$B$26,Roster!$B17,Roster!AO$7:AO$26,"?*")&gt;Setup!$B$5,COUNTIF(Roster!AO$7:AO$26,"?*")&gt;Setup!$B$6),"CLASH","OK"))</f>
        <v/>
      </c>
      <c r="AP17" s="34" t="str">
        <f aca="false">IF(OR(Roster!$A17="",Roster!AP17=""),"",IF(OR(COUNTIFS(Roster!$B$7:$B$26,Roster!$B17,Roster!AP$7:AP$26,"?*")&gt;Setup!$B$5,COUNTIF(Roster!AP$7:AP$26,"?*")&gt;Setup!$B$6),"CLASH","OK"))</f>
        <v/>
      </c>
      <c r="AQ17" s="34" t="str">
        <f aca="false">IF(OR(Roster!$A17="",Roster!AQ17=""),"",IF(OR(COUNTIFS(Roster!$B$7:$B$26,Roster!$B17,Roster!AQ$7:AQ$26,"?*")&gt;Setup!$B$5,COUNTIF(Roster!AQ$7:AQ$26,"?*")&gt;Setup!$B$6),"CLASH","OK"))</f>
        <v/>
      </c>
      <c r="AR17" s="34" t="str">
        <f aca="false">IF(OR(Roster!$A17="",Roster!AR17=""),"",IF(OR(COUNTIFS(Roster!$B$7:$B$26,Roster!$B17,Roster!AR$7:AR$26,"?*")&gt;Setup!$B$5,COUNTIF(Roster!AR$7:AR$26,"?*")&gt;Setup!$B$6),"CLASH","OK"))</f>
        <v/>
      </c>
      <c r="AS17" s="34" t="str">
        <f aca="false">IF(OR(Roster!$A17="",Roster!AS17=""),"",IF(OR(COUNTIFS(Roster!$B$7:$B$26,Roster!$B17,Roster!AS$7:AS$26,"?*")&gt;Setup!$B$5,COUNTIF(Roster!AS$7:AS$26,"?*")&gt;Setup!$B$6),"CLASH","OK"))</f>
        <v/>
      </c>
      <c r="AT17" s="34" t="str">
        <f aca="false">IF(OR(Roster!$A17="",Roster!AT17=""),"",IF(OR(COUNTIFS(Roster!$B$7:$B$26,Roster!$B17,Roster!AT$7:AT$26,"?*")&gt;Setup!$B$5,COUNTIF(Roster!AT$7:AT$26,"?*")&gt;Setup!$B$6),"CLASH","OK"))</f>
        <v/>
      </c>
      <c r="AU17" s="34" t="str">
        <f aca="false">IF(OR(Roster!$A17="",Roster!AU17=""),"",IF(OR(COUNTIFS(Roster!$B$7:$B$26,Roster!$B17,Roster!AU$7:AU$26,"?*")&gt;Setup!$B$5,COUNTIF(Roster!AU$7:AU$26,"?*")&gt;Setup!$B$6),"CLASH","OK"))</f>
        <v/>
      </c>
      <c r="AV17" s="34" t="str">
        <f aca="false">IF(OR(Roster!$A17="",Roster!AV17=""),"",IF(OR(COUNTIFS(Roster!$B$7:$B$26,Roster!$B17,Roster!AV$7:AV$26,"?*")&gt;Setup!$B$5,COUNTIF(Roster!AV$7:AV$26,"?*")&gt;Setup!$B$6),"CLASH","OK"))</f>
        <v/>
      </c>
      <c r="AW17" s="34" t="str">
        <f aca="false">IF(OR(Roster!$A17="",Roster!AW17=""),"",IF(OR(COUNTIFS(Roster!$B$7:$B$26,Roster!$B17,Roster!AW$7:AW$26,"?*")&gt;Setup!$B$5,COUNTIF(Roster!AW$7:AW$26,"?*")&gt;Setup!$B$6),"CLASH","OK"))</f>
        <v/>
      </c>
      <c r="AX17" s="34" t="str">
        <f aca="false">IF(OR(Roster!$A17="",Roster!AX17=""),"",IF(OR(COUNTIFS(Roster!$B$7:$B$26,Roster!$B17,Roster!AX$7:AX$26,"?*")&gt;Setup!$B$5,COUNTIF(Roster!AX$7:AX$26,"?*")&gt;Setup!$B$6),"CLASH","OK"))</f>
        <v/>
      </c>
      <c r="AY17" s="34" t="str">
        <f aca="false">IF(OR(Roster!$A17="",Roster!AY17=""),"",IF(OR(COUNTIFS(Roster!$B$7:$B$26,Roster!$B17,Roster!AY$7:AY$26,"?*")&gt;Setup!$B$5,COUNTIF(Roster!AY$7:AY$26,"?*")&gt;Setup!$B$6),"CLASH","OK"))</f>
        <v/>
      </c>
      <c r="AZ17" s="34" t="str">
        <f aca="false">IF(OR(Roster!$A17="",Roster!AZ17=""),"",IF(OR(COUNTIFS(Roster!$B$7:$B$26,Roster!$B17,Roster!AZ$7:AZ$26,"?*")&gt;Setup!$B$5,COUNTIF(Roster!AZ$7:AZ$26,"?*")&gt;Setup!$B$6),"CLASH","OK"))</f>
        <v/>
      </c>
      <c r="BA17" s="34" t="str">
        <f aca="false">IF(OR(Roster!$A17="",Roster!BA17=""),"",IF(OR(COUNTIFS(Roster!$B$7:$B$26,Roster!$B17,Roster!BA$7:BA$26,"?*")&gt;Setup!$B$5,COUNTIF(Roster!BA$7:BA$26,"?*")&gt;Setup!$B$6),"CLASH","OK"))</f>
        <v/>
      </c>
      <c r="BB17" s="34" t="str">
        <f aca="false">IF(OR(Roster!$A17="",Roster!BB17=""),"",IF(OR(COUNTIFS(Roster!$B$7:$B$26,Roster!$B17,Roster!BB$7:BB$26,"?*")&gt;Setup!$B$5,COUNTIF(Roster!BB$7:BB$26,"?*")&gt;Setup!$B$6),"CLASH","OK"))</f>
        <v/>
      </c>
      <c r="BC17" s="34" t="str">
        <f aca="false">IF(OR(Roster!$A17="",Roster!BC17=""),"",IF(OR(COUNTIFS(Roster!$B$7:$B$26,Roster!$B17,Roster!BC$7:BC$26,"?*")&gt;Setup!$B$5,COUNTIF(Roster!BC$7:BC$26,"?*")&gt;Setup!$B$6),"CLASH","OK"))</f>
        <v/>
      </c>
      <c r="BD17" s="34" t="str">
        <f aca="false">IF(OR(Roster!$A17="",Roster!BD17=""),"",IF(OR(COUNTIFS(Roster!$B$7:$B$26,Roster!$B17,Roster!BD$7:BD$26,"?*")&gt;Setup!$B$5,COUNTIF(Roster!BD$7:BD$26,"?*")&gt;Setup!$B$6),"CLASH","OK"))</f>
        <v/>
      </c>
      <c r="BE17" s="34" t="str">
        <f aca="false">IF(OR(Roster!$A17="",Roster!BE17=""),"",IF(OR(COUNTIFS(Roster!$B$7:$B$26,Roster!$B17,Roster!BE$7:BE$26,"?*")&gt;Setup!$B$5,COUNTIF(Roster!BE$7:BE$26,"?*")&gt;Setup!$B$6),"CLASH","OK"))</f>
        <v/>
      </c>
      <c r="BF17" s="34" t="str">
        <f aca="false">IF(OR(Roster!$A17="",Roster!BF17=""),"",IF(OR(COUNTIFS(Roster!$B$7:$B$26,Roster!$B17,Roster!BF$7:BF$26,"?*")&gt;Setup!$B$5,COUNTIF(Roster!BF$7:BF$26,"?*")&gt;Setup!$B$6),"CLASH","OK"))</f>
        <v/>
      </c>
      <c r="BG17" s="34" t="str">
        <f aca="false">IF(OR(Roster!$A17="",Roster!BG17=""),"",IF(OR(COUNTIFS(Roster!$B$7:$B$26,Roster!$B17,Roster!BG$7:BG$26,"?*")&gt;Setup!$B$5,COUNTIF(Roster!BG$7:BG$26,"?*")&gt;Setup!$B$6),"CLASH","OK"))</f>
        <v/>
      </c>
      <c r="BH17" s="34" t="str">
        <f aca="false">IF(OR(Roster!$A17="",Roster!BH17=""),"",IF(OR(COUNTIFS(Roster!$B$7:$B$26,Roster!$B17,Roster!BH$7:BH$26,"?*")&gt;Setup!$B$5,COUNTIF(Roster!BH$7:BH$26,"?*")&gt;Setup!$B$6),"CLASH","OK"))</f>
        <v/>
      </c>
      <c r="BI17" s="34" t="str">
        <f aca="false">IF(OR(Roster!$A17="",Roster!BI17=""),"",IF(OR(COUNTIFS(Roster!$B$7:$B$26,Roster!$B17,Roster!BI$7:BI$26,"?*")&gt;Setup!$B$5,COUNTIF(Roster!BI$7:BI$26,"?*")&gt;Setup!$B$6),"CLASH","OK"))</f>
        <v/>
      </c>
      <c r="BJ17" s="34" t="str">
        <f aca="false">IF(OR(Roster!$A17="",Roster!BJ17=""),"",IF(OR(COUNTIFS(Roster!$B$7:$B$26,Roster!$B17,Roster!BJ$7:BJ$26,"?*")&gt;Setup!$B$5,COUNTIF(Roster!BJ$7:BJ$26,"?*")&gt;Setup!$B$6),"CLASH","OK"))</f>
        <v/>
      </c>
      <c r="BK17" s="34" t="str">
        <f aca="false">IF(OR(Roster!$A17="",Roster!BK17=""),"",IF(OR(COUNTIFS(Roster!$B$7:$B$26,Roster!$B17,Roster!BK$7:BK$26,"?*")&gt;Setup!$B$5,COUNTIF(Roster!BK$7:BK$26,"?*")&gt;Setup!$B$6),"CLASH","OK"))</f>
        <v/>
      </c>
      <c r="BL17" s="34" t="str">
        <f aca="false">IF(OR(Roster!$A17="",Roster!BL17=""),"",IF(OR(COUNTIFS(Roster!$B$7:$B$26,Roster!$B17,Roster!BL$7:BL$26,"?*")&gt;Setup!$B$5,COUNTIF(Roster!BL$7:BL$26,"?*")&gt;Setup!$B$6),"CLASH","OK"))</f>
        <v/>
      </c>
      <c r="BM17" s="34" t="str">
        <f aca="false">IF(OR(Roster!$A17="",Roster!BM17=""),"",IF(OR(COUNTIFS(Roster!$B$7:$B$26,Roster!$B17,Roster!BM$7:BM$26,"?*")&gt;Setup!$B$5,COUNTIF(Roster!BM$7:BM$26,"?*")&gt;Setup!$B$6),"CLASH","OK"))</f>
        <v/>
      </c>
      <c r="BN17" s="34" t="str">
        <f aca="false">IF(OR(Roster!$A17="",Roster!BN17=""),"",IF(OR(COUNTIFS(Roster!$B$7:$B$26,Roster!$B17,Roster!BN$7:BN$26,"?*")&gt;Setup!$B$5,COUNTIF(Roster!BN$7:BN$26,"?*")&gt;Setup!$B$6),"CLASH","OK"))</f>
        <v/>
      </c>
      <c r="BO17" s="34" t="str">
        <f aca="false">IF(OR(Roster!$A17="",Roster!BO17=""),"",IF(OR(COUNTIFS(Roster!$B$7:$B$26,Roster!$B17,Roster!BO$7:BO$26,"?*")&gt;Setup!$B$5,COUNTIF(Roster!BO$7:BO$26,"?*")&gt;Setup!$B$6),"CLASH","OK"))</f>
        <v/>
      </c>
      <c r="BP17" s="34" t="str">
        <f aca="false">IF(OR(Roster!$A17="",Roster!BP17=""),"",IF(OR(COUNTIFS(Roster!$B$7:$B$26,Roster!$B17,Roster!BP$7:BP$26,"?*")&gt;Setup!$B$5,COUNTIF(Roster!BP$7:BP$26,"?*")&gt;Setup!$B$6),"CLASH","OK"))</f>
        <v/>
      </c>
      <c r="BQ17" s="34" t="str">
        <f aca="false">IF(OR(Roster!$A17="",Roster!BQ17=""),"",IF(OR(COUNTIFS(Roster!$B$7:$B$26,Roster!$B17,Roster!BQ$7:BQ$26,"?*")&gt;Setup!$B$5,COUNTIF(Roster!BQ$7:BQ$26,"?*")&gt;Setup!$B$6),"CLASH","OK"))</f>
        <v/>
      </c>
      <c r="BR17" s="34" t="str">
        <f aca="false">IF(OR(Roster!$A17="",Roster!BR17=""),"",IF(OR(COUNTIFS(Roster!$B$7:$B$26,Roster!$B17,Roster!BR$7:BR$26,"?*")&gt;Setup!$B$5,COUNTIF(Roster!BR$7:BR$26,"?*")&gt;Setup!$B$6),"CLASH","OK"))</f>
        <v/>
      </c>
      <c r="BS17" s="34" t="str">
        <f aca="false">IF(OR(Roster!$A17="",Roster!BS17=""),"",IF(OR(COUNTIFS(Roster!$B$7:$B$26,Roster!$B17,Roster!BS$7:BS$26,"?*")&gt;Setup!$B$5,COUNTIF(Roster!BS$7:BS$26,"?*")&gt;Setup!$B$6),"CLASH","OK"))</f>
        <v/>
      </c>
      <c r="BT17" s="34" t="str">
        <f aca="false">IF(OR(Roster!$A17="",Roster!BT17=""),"",IF(OR(COUNTIFS(Roster!$B$7:$B$26,Roster!$B17,Roster!BT$7:BT$26,"?*")&gt;Setup!$B$5,COUNTIF(Roster!BT$7:BT$26,"?*")&gt;Setup!$B$6),"CLASH","OK"))</f>
        <v/>
      </c>
      <c r="BU17" s="34" t="str">
        <f aca="false">IF(OR(Roster!$A17="",Roster!BU17=""),"",IF(OR(COUNTIFS(Roster!$B$7:$B$26,Roster!$B17,Roster!BU$7:BU$26,"?*")&gt;Setup!$B$5,COUNTIF(Roster!BU$7:BU$26,"?*")&gt;Setup!$B$6),"CLASH","OK"))</f>
        <v/>
      </c>
      <c r="BV17" s="34" t="str">
        <f aca="false">IF(OR(Roster!$A17="",Roster!BV17=""),"",IF(OR(COUNTIFS(Roster!$B$7:$B$26,Roster!$B17,Roster!BV$7:BV$26,"?*")&gt;Setup!$B$5,COUNTIF(Roster!BV$7:BV$26,"?*")&gt;Setup!$B$6),"CLASH","OK"))</f>
        <v/>
      </c>
      <c r="BW17" s="34" t="str">
        <f aca="false">IF(OR(Roster!$A17="",Roster!BW17=""),"",IF(OR(COUNTIFS(Roster!$B$7:$B$26,Roster!$B17,Roster!BW$7:BW$26,"?*")&gt;Setup!$B$5,COUNTIF(Roster!BW$7:BW$26,"?*")&gt;Setup!$B$6),"CLASH","OK"))</f>
        <v/>
      </c>
      <c r="BX17" s="34" t="str">
        <f aca="false">IF(OR(Roster!$A17="",Roster!BX17=""),"",IF(OR(COUNTIFS(Roster!$B$7:$B$26,Roster!$B17,Roster!BX$7:BX$26,"?*")&gt;Setup!$B$5,COUNTIF(Roster!BX$7:BX$26,"?*")&gt;Setup!$B$6),"CLASH","OK"))</f>
        <v/>
      </c>
      <c r="BY17" s="34" t="str">
        <f aca="false">IF(OR(Roster!$A17="",Roster!BY17=""),"",IF(OR(COUNTIFS(Roster!$B$7:$B$26,Roster!$B17,Roster!BY$7:BY$26,"?*")&gt;Setup!$B$5,COUNTIF(Roster!BY$7:BY$26,"?*")&gt;Setup!$B$6),"CLASH","OK"))</f>
        <v/>
      </c>
      <c r="BZ17" s="34" t="str">
        <f aca="false">IF(OR(Roster!$A17="",Roster!BZ17=""),"",IF(OR(COUNTIFS(Roster!$B$7:$B$26,Roster!$B17,Roster!BZ$7:BZ$26,"?*")&gt;Setup!$B$5,COUNTIF(Roster!BZ$7:BZ$26,"?*")&gt;Setup!$B$6),"CLASH","OK"))</f>
        <v/>
      </c>
      <c r="CA17" s="34" t="str">
        <f aca="false">IF(OR(Roster!$A17="",Roster!CA17=""),"",IF(OR(COUNTIFS(Roster!$B$7:$B$26,Roster!$B17,Roster!CA$7:CA$26,"?*")&gt;Setup!$B$5,COUNTIF(Roster!CA$7:CA$26,"?*")&gt;Setup!$B$6),"CLASH","OK"))</f>
        <v/>
      </c>
      <c r="CB17" s="34" t="str">
        <f aca="false">IF(OR(Roster!$A17="",Roster!CB17=""),"",IF(OR(COUNTIFS(Roster!$B$7:$B$26,Roster!$B17,Roster!CB$7:CB$26,"?*")&gt;Setup!$B$5,COUNTIF(Roster!CB$7:CB$26,"?*")&gt;Setup!$B$6),"CLASH","OK"))</f>
        <v/>
      </c>
      <c r="CC17" s="34" t="str">
        <f aca="false">IF(OR(Roster!$A17="",Roster!CC17=""),"",IF(OR(COUNTIFS(Roster!$B$7:$B$26,Roster!$B17,Roster!CC$7:CC$26,"?*")&gt;Setup!$B$5,COUNTIF(Roster!CC$7:CC$26,"?*")&gt;Setup!$B$6),"CLASH","OK"))</f>
        <v/>
      </c>
      <c r="CD17" s="34" t="str">
        <f aca="false">IF(OR(Roster!$A17="",Roster!CD17=""),"",IF(OR(COUNTIFS(Roster!$B$7:$B$26,Roster!$B17,Roster!CD$7:CD$26,"?*")&gt;Setup!$B$5,COUNTIF(Roster!CD$7:CD$26,"?*")&gt;Setup!$B$6),"CLASH","OK"))</f>
        <v/>
      </c>
      <c r="CE17" s="34" t="str">
        <f aca="false">IF(OR(Roster!$A17="",Roster!CE17=""),"",IF(OR(COUNTIFS(Roster!$B$7:$B$26,Roster!$B17,Roster!CE$7:CE$26,"?*")&gt;Setup!$B$5,COUNTIF(Roster!CE$7:CE$26,"?*")&gt;Setup!$B$6),"CLASH","OK"))</f>
        <v/>
      </c>
      <c r="CF17" s="34" t="str">
        <f aca="false">IF(OR(Roster!$A17="",Roster!CF17=""),"",IF(OR(COUNTIFS(Roster!$B$7:$B$26,Roster!$B17,Roster!CF$7:CF$26,"?*")&gt;Setup!$B$5,COUNTIF(Roster!CF$7:CF$26,"?*")&gt;Setup!$B$6),"CLASH","OK"))</f>
        <v/>
      </c>
      <c r="CG17" s="34" t="str">
        <f aca="false">IF(OR(Roster!$A17="",Roster!CG17=""),"",IF(OR(COUNTIFS(Roster!$B$7:$B$26,Roster!$B17,Roster!CG$7:CG$26,"?*")&gt;Setup!$B$5,COUNTIF(Roster!CG$7:CG$26,"?*")&gt;Setup!$B$6),"CLASH","OK"))</f>
        <v/>
      </c>
      <c r="CH17" s="34" t="str">
        <f aca="false">IF(OR(Roster!$A17="",Roster!CH17=""),"",IF(OR(COUNTIFS(Roster!$B$7:$B$26,Roster!$B17,Roster!CH$7:CH$26,"?*")&gt;Setup!$B$5,COUNTIF(Roster!CH$7:CH$26,"?*")&gt;Setup!$B$6),"CLASH","OK"))</f>
        <v/>
      </c>
      <c r="CI17" s="34" t="str">
        <f aca="false">IF(OR(Roster!$A17="",Roster!CI17=""),"",IF(OR(COUNTIFS(Roster!$B$7:$B$26,Roster!$B17,Roster!CI$7:CI$26,"?*")&gt;Setup!$B$5,COUNTIF(Roster!CI$7:CI$26,"?*")&gt;Setup!$B$6),"CLASH","OK"))</f>
        <v/>
      </c>
      <c r="CJ17" s="34" t="str">
        <f aca="false">IF(OR(Roster!$A17="",Roster!CJ17=""),"",IF(OR(COUNTIFS(Roster!$B$7:$B$26,Roster!$B17,Roster!CJ$7:CJ$26,"?*")&gt;Setup!$B$5,COUNTIF(Roster!CJ$7:CJ$26,"?*")&gt;Setup!$B$6),"CLASH","OK"))</f>
        <v/>
      </c>
      <c r="CK17" s="34" t="str">
        <f aca="false">IF(OR(Roster!$A17="",Roster!CK17=""),"",IF(OR(COUNTIFS(Roster!$B$7:$B$26,Roster!$B17,Roster!CK$7:CK$26,"?*")&gt;Setup!$B$5,COUNTIF(Roster!CK$7:CK$26,"?*")&gt;Setup!$B$6),"CLASH","OK"))</f>
        <v/>
      </c>
      <c r="CL17" s="34" t="str">
        <f aca="false">IF(OR(Roster!$A17="",Roster!CL17=""),"",IF(OR(COUNTIFS(Roster!$B$7:$B$26,Roster!$B17,Roster!CL$7:CL$26,"?*")&gt;Setup!$B$5,COUNTIF(Roster!CL$7:CL$26,"?*")&gt;Setup!$B$6),"CLASH","OK"))</f>
        <v/>
      </c>
      <c r="CM17" s="34" t="str">
        <f aca="false">IF(OR(Roster!$A17="",Roster!CM17=""),"",IF(OR(COUNTIFS(Roster!$B$7:$B$26,Roster!$B17,Roster!CM$7:CM$26,"?*")&gt;Setup!$B$5,COUNTIF(Roster!CM$7:CM$26,"?*")&gt;Setup!$B$6),"CLASH","OK"))</f>
        <v/>
      </c>
      <c r="CN17" s="34" t="str">
        <f aca="false">IF(OR(Roster!$A17="",Roster!CN17=""),"",IF(OR(COUNTIFS(Roster!$B$7:$B$26,Roster!$B17,Roster!CN$7:CN$26,"?*")&gt;Setup!$B$5,COUNTIF(Roster!CN$7:CN$26,"?*")&gt;Setup!$B$6),"CLASH","OK"))</f>
        <v/>
      </c>
      <c r="CO17" s="34" t="str">
        <f aca="false">IF(OR(Roster!$A17="",Roster!CO17=""),"",IF(OR(COUNTIFS(Roster!$B$7:$B$26,Roster!$B17,Roster!CO$7:CO$26,"?*")&gt;Setup!$B$5,COUNTIF(Roster!CO$7:CO$26,"?*")&gt;Setup!$B$6),"CLASH","OK"))</f>
        <v/>
      </c>
      <c r="CP17" s="34" t="str">
        <f aca="false">IF(OR(Roster!$A17="",Roster!CP17=""),"",IF(OR(COUNTIFS(Roster!$B$7:$B$26,Roster!$B17,Roster!CP$7:CP$26,"?*")&gt;Setup!$B$5,COUNTIF(Roster!CP$7:CP$26,"?*")&gt;Setup!$B$6),"CLASH","OK"))</f>
        <v/>
      </c>
      <c r="CQ17" s="34" t="str">
        <f aca="false">IF(OR(Roster!$A17="",Roster!CQ17=""),"",IF(OR(COUNTIFS(Roster!$B$7:$B$26,Roster!$B17,Roster!CQ$7:CQ$26,"?*")&gt;Setup!$B$5,COUNTIF(Roster!CQ$7:CQ$26,"?*")&gt;Setup!$B$6),"CLASH","OK"))</f>
        <v/>
      </c>
      <c r="CR17" s="34" t="str">
        <f aca="false">IF(OR(Roster!$A17="",Roster!CR17=""),"",IF(OR(COUNTIFS(Roster!$B$7:$B$26,Roster!$B17,Roster!CR$7:CR$26,"?*")&gt;Setup!$B$5,COUNTIF(Roster!CR$7:CR$26,"?*")&gt;Setup!$B$6),"CLASH","OK"))</f>
        <v/>
      </c>
      <c r="CS17" s="34" t="str">
        <f aca="false">IF(OR(Roster!$A17="",Roster!CS17=""),"",IF(OR(COUNTIFS(Roster!$B$7:$B$26,Roster!$B17,Roster!CS$7:CS$26,"?*")&gt;Setup!$B$5,COUNTIF(Roster!CS$7:CS$26,"?*")&gt;Setup!$B$6),"CLASH","OK"))</f>
        <v/>
      </c>
      <c r="CT17" s="34" t="str">
        <f aca="false">IF(OR(Roster!$A17="",Roster!CT17=""),"",IF(OR(COUNTIFS(Roster!$B$7:$B$26,Roster!$B17,Roster!CT$7:CT$26,"?*")&gt;Setup!$B$5,COUNTIF(Roster!CT$7:CT$26,"?*")&gt;Setup!$B$6),"CLASH","OK"))</f>
        <v/>
      </c>
      <c r="CU17" s="34" t="str">
        <f aca="false">IF(OR(Roster!$A17="",Roster!CU17=""),"",IF(OR(COUNTIFS(Roster!$B$7:$B$26,Roster!$B17,Roster!CU$7:CU$26,"?*")&gt;Setup!$B$5,COUNTIF(Roster!CU$7:CU$26,"?*")&gt;Setup!$B$6),"CLASH","OK"))</f>
        <v/>
      </c>
    </row>
    <row r="18" customFormat="false" ht="15" hidden="false" customHeight="false" outlineLevel="0" collapsed="false">
      <c r="A18" s="33" t="str">
        <f aca="false">IF(Roster!A18="","",Roster!A18)</f>
        <v/>
      </c>
      <c r="B18" s="33" t="str">
        <f aca="false">IF(Roster!A18="","",Roster!B18)</f>
        <v/>
      </c>
      <c r="H18" s="34" t="str">
        <f aca="false">IF(OR(Roster!$A18="",Roster!H18=""),"",IF(OR(COUNTIFS(Roster!$B$7:$B$26,Roster!$B18,Roster!H$7:H$26,"?*")&gt;Setup!$B$5,COUNTIF(Roster!H$7:H$26,"?*")&gt;Setup!$B$6),"CLASH","OK"))</f>
        <v/>
      </c>
      <c r="I18" s="34" t="str">
        <f aca="false">IF(OR(Roster!$A18="",Roster!I18=""),"",IF(OR(COUNTIFS(Roster!$B$7:$B$26,Roster!$B18,Roster!I$7:I$26,"?*")&gt;Setup!$B$5,COUNTIF(Roster!I$7:I$26,"?*")&gt;Setup!$B$6),"CLASH","OK"))</f>
        <v/>
      </c>
      <c r="J18" s="34" t="str">
        <f aca="false">IF(OR(Roster!$A18="",Roster!J18=""),"",IF(OR(COUNTIFS(Roster!$B$7:$B$26,Roster!$B18,Roster!J$7:J$26,"?*")&gt;Setup!$B$5,COUNTIF(Roster!J$7:J$26,"?*")&gt;Setup!$B$6),"CLASH","OK"))</f>
        <v/>
      </c>
      <c r="K18" s="34" t="str">
        <f aca="false">IF(OR(Roster!$A18="",Roster!K18=""),"",IF(OR(COUNTIFS(Roster!$B$7:$B$26,Roster!$B18,Roster!K$7:K$26,"?*")&gt;Setup!$B$5,COUNTIF(Roster!K$7:K$26,"?*")&gt;Setup!$B$6),"CLASH","OK"))</f>
        <v/>
      </c>
      <c r="L18" s="34" t="str">
        <f aca="false">IF(OR(Roster!$A18="",Roster!L18=""),"",IF(OR(COUNTIFS(Roster!$B$7:$B$26,Roster!$B18,Roster!L$7:L$26,"?*")&gt;Setup!$B$5,COUNTIF(Roster!L$7:L$26,"?*")&gt;Setup!$B$6),"CLASH","OK"))</f>
        <v/>
      </c>
      <c r="M18" s="34" t="str">
        <f aca="false">IF(OR(Roster!$A18="",Roster!M18=""),"",IF(OR(COUNTIFS(Roster!$B$7:$B$26,Roster!$B18,Roster!M$7:M$26,"?*")&gt;Setup!$B$5,COUNTIF(Roster!M$7:M$26,"?*")&gt;Setup!$B$6),"CLASH","OK"))</f>
        <v/>
      </c>
      <c r="N18" s="34" t="str">
        <f aca="false">IF(OR(Roster!$A18="",Roster!N18=""),"",IF(OR(COUNTIFS(Roster!$B$7:$B$26,Roster!$B18,Roster!N$7:N$26,"?*")&gt;Setup!$B$5,COUNTIF(Roster!N$7:N$26,"?*")&gt;Setup!$B$6),"CLASH","OK"))</f>
        <v/>
      </c>
      <c r="O18" s="34" t="str">
        <f aca="false">IF(OR(Roster!$A18="",Roster!O18=""),"",IF(OR(COUNTIFS(Roster!$B$7:$B$26,Roster!$B18,Roster!O$7:O$26,"?*")&gt;Setup!$B$5,COUNTIF(Roster!O$7:O$26,"?*")&gt;Setup!$B$6),"CLASH","OK"))</f>
        <v/>
      </c>
      <c r="P18" s="34" t="str">
        <f aca="false">IF(OR(Roster!$A18="",Roster!P18=""),"",IF(OR(COUNTIFS(Roster!$B$7:$B$26,Roster!$B18,Roster!P$7:P$26,"?*")&gt;Setup!$B$5,COUNTIF(Roster!P$7:P$26,"?*")&gt;Setup!$B$6),"CLASH","OK"))</f>
        <v/>
      </c>
      <c r="Q18" s="34" t="str">
        <f aca="false">IF(OR(Roster!$A18="",Roster!Q18=""),"",IF(OR(COUNTIFS(Roster!$B$7:$B$26,Roster!$B18,Roster!Q$7:Q$26,"?*")&gt;Setup!$B$5,COUNTIF(Roster!Q$7:Q$26,"?*")&gt;Setup!$B$6),"CLASH","OK"))</f>
        <v/>
      </c>
      <c r="R18" s="34" t="str">
        <f aca="false">IF(OR(Roster!$A18="",Roster!R18=""),"",IF(OR(COUNTIFS(Roster!$B$7:$B$26,Roster!$B18,Roster!R$7:R$26,"?*")&gt;Setup!$B$5,COUNTIF(Roster!R$7:R$26,"?*")&gt;Setup!$B$6),"CLASH","OK"))</f>
        <v/>
      </c>
      <c r="S18" s="34" t="str">
        <f aca="false">IF(OR(Roster!$A18="",Roster!S18=""),"",IF(OR(COUNTIFS(Roster!$B$7:$B$26,Roster!$B18,Roster!S$7:S$26,"?*")&gt;Setup!$B$5,COUNTIF(Roster!S$7:S$26,"?*")&gt;Setup!$B$6),"CLASH","OK"))</f>
        <v/>
      </c>
      <c r="T18" s="34" t="str">
        <f aca="false">IF(OR(Roster!$A18="",Roster!T18=""),"",IF(OR(COUNTIFS(Roster!$B$7:$B$26,Roster!$B18,Roster!T$7:T$26,"?*")&gt;Setup!$B$5,COUNTIF(Roster!T$7:T$26,"?*")&gt;Setup!$B$6),"CLASH","OK"))</f>
        <v/>
      </c>
      <c r="U18" s="34" t="str">
        <f aca="false">IF(OR(Roster!$A18="",Roster!U18=""),"",IF(OR(COUNTIFS(Roster!$B$7:$B$26,Roster!$B18,Roster!U$7:U$26,"?*")&gt;Setup!$B$5,COUNTIF(Roster!U$7:U$26,"?*")&gt;Setup!$B$6),"CLASH","OK"))</f>
        <v/>
      </c>
      <c r="V18" s="34" t="str">
        <f aca="false">IF(OR(Roster!$A18="",Roster!V18=""),"",IF(OR(COUNTIFS(Roster!$B$7:$B$26,Roster!$B18,Roster!V$7:V$26,"?*")&gt;Setup!$B$5,COUNTIF(Roster!V$7:V$26,"?*")&gt;Setup!$B$6),"CLASH","OK"))</f>
        <v/>
      </c>
      <c r="W18" s="34" t="str">
        <f aca="false">IF(OR(Roster!$A18="",Roster!W18=""),"",IF(OR(COUNTIFS(Roster!$B$7:$B$26,Roster!$B18,Roster!W$7:W$26,"?*")&gt;Setup!$B$5,COUNTIF(Roster!W$7:W$26,"?*")&gt;Setup!$B$6),"CLASH","OK"))</f>
        <v/>
      </c>
      <c r="X18" s="34" t="str">
        <f aca="false">IF(OR(Roster!$A18="",Roster!X18=""),"",IF(OR(COUNTIFS(Roster!$B$7:$B$26,Roster!$B18,Roster!X$7:X$26,"?*")&gt;Setup!$B$5,COUNTIF(Roster!X$7:X$26,"?*")&gt;Setup!$B$6),"CLASH","OK"))</f>
        <v/>
      </c>
      <c r="Y18" s="34" t="str">
        <f aca="false">IF(OR(Roster!$A18="",Roster!Y18=""),"",IF(OR(COUNTIFS(Roster!$B$7:$B$26,Roster!$B18,Roster!Y$7:Y$26,"?*")&gt;Setup!$B$5,COUNTIF(Roster!Y$7:Y$26,"?*")&gt;Setup!$B$6),"CLASH","OK"))</f>
        <v/>
      </c>
      <c r="Z18" s="34" t="str">
        <f aca="false">IF(OR(Roster!$A18="",Roster!Z18=""),"",IF(OR(COUNTIFS(Roster!$B$7:$B$26,Roster!$B18,Roster!Z$7:Z$26,"?*")&gt;Setup!$B$5,COUNTIF(Roster!Z$7:Z$26,"?*")&gt;Setup!$B$6),"CLASH","OK"))</f>
        <v/>
      </c>
      <c r="AA18" s="34" t="str">
        <f aca="false">IF(OR(Roster!$A18="",Roster!AA18=""),"",IF(OR(COUNTIFS(Roster!$B$7:$B$26,Roster!$B18,Roster!AA$7:AA$26,"?*")&gt;Setup!$B$5,COUNTIF(Roster!AA$7:AA$26,"?*")&gt;Setup!$B$6),"CLASH","OK"))</f>
        <v/>
      </c>
      <c r="AB18" s="34" t="str">
        <f aca="false">IF(OR(Roster!$A18="",Roster!AB18=""),"",IF(OR(COUNTIFS(Roster!$B$7:$B$26,Roster!$B18,Roster!AB$7:AB$26,"?*")&gt;Setup!$B$5,COUNTIF(Roster!AB$7:AB$26,"?*")&gt;Setup!$B$6),"CLASH","OK"))</f>
        <v/>
      </c>
      <c r="AC18" s="34" t="str">
        <f aca="false">IF(OR(Roster!$A18="",Roster!AC18=""),"",IF(OR(COUNTIFS(Roster!$B$7:$B$26,Roster!$B18,Roster!AC$7:AC$26,"?*")&gt;Setup!$B$5,COUNTIF(Roster!AC$7:AC$26,"?*")&gt;Setup!$B$6),"CLASH","OK"))</f>
        <v/>
      </c>
      <c r="AD18" s="34" t="str">
        <f aca="false">IF(OR(Roster!$A18="",Roster!AD18=""),"",IF(OR(COUNTIFS(Roster!$B$7:$B$26,Roster!$B18,Roster!AD$7:AD$26,"?*")&gt;Setup!$B$5,COUNTIF(Roster!AD$7:AD$26,"?*")&gt;Setup!$B$6),"CLASH","OK"))</f>
        <v/>
      </c>
      <c r="AE18" s="34" t="str">
        <f aca="false">IF(OR(Roster!$A18="",Roster!AE18=""),"",IF(OR(COUNTIFS(Roster!$B$7:$B$26,Roster!$B18,Roster!AE$7:AE$26,"?*")&gt;Setup!$B$5,COUNTIF(Roster!AE$7:AE$26,"?*")&gt;Setup!$B$6),"CLASH","OK"))</f>
        <v/>
      </c>
      <c r="AF18" s="34" t="str">
        <f aca="false">IF(OR(Roster!$A18="",Roster!AF18=""),"",IF(OR(COUNTIFS(Roster!$B$7:$B$26,Roster!$B18,Roster!AF$7:AF$26,"?*")&gt;Setup!$B$5,COUNTIF(Roster!AF$7:AF$26,"?*")&gt;Setup!$B$6),"CLASH","OK"))</f>
        <v/>
      </c>
      <c r="AG18" s="34" t="str">
        <f aca="false">IF(OR(Roster!$A18="",Roster!AG18=""),"",IF(OR(COUNTIFS(Roster!$B$7:$B$26,Roster!$B18,Roster!AG$7:AG$26,"?*")&gt;Setup!$B$5,COUNTIF(Roster!AG$7:AG$26,"?*")&gt;Setup!$B$6),"CLASH","OK"))</f>
        <v/>
      </c>
      <c r="AH18" s="34" t="str">
        <f aca="false">IF(OR(Roster!$A18="",Roster!AH18=""),"",IF(OR(COUNTIFS(Roster!$B$7:$B$26,Roster!$B18,Roster!AH$7:AH$26,"?*")&gt;Setup!$B$5,COUNTIF(Roster!AH$7:AH$26,"?*")&gt;Setup!$B$6),"CLASH","OK"))</f>
        <v/>
      </c>
      <c r="AI18" s="34" t="str">
        <f aca="false">IF(OR(Roster!$A18="",Roster!AI18=""),"",IF(OR(COUNTIFS(Roster!$B$7:$B$26,Roster!$B18,Roster!AI$7:AI$26,"?*")&gt;Setup!$B$5,COUNTIF(Roster!AI$7:AI$26,"?*")&gt;Setup!$B$6),"CLASH","OK"))</f>
        <v/>
      </c>
      <c r="AJ18" s="34" t="str">
        <f aca="false">IF(OR(Roster!$A18="",Roster!AJ18=""),"",IF(OR(COUNTIFS(Roster!$B$7:$B$26,Roster!$B18,Roster!AJ$7:AJ$26,"?*")&gt;Setup!$B$5,COUNTIF(Roster!AJ$7:AJ$26,"?*")&gt;Setup!$B$6),"CLASH","OK"))</f>
        <v/>
      </c>
      <c r="AK18" s="34" t="str">
        <f aca="false">IF(OR(Roster!$A18="",Roster!AK18=""),"",IF(OR(COUNTIFS(Roster!$B$7:$B$26,Roster!$B18,Roster!AK$7:AK$26,"?*")&gt;Setup!$B$5,COUNTIF(Roster!AK$7:AK$26,"?*")&gt;Setup!$B$6),"CLASH","OK"))</f>
        <v/>
      </c>
      <c r="AL18" s="34" t="str">
        <f aca="false">IF(OR(Roster!$A18="",Roster!AL18=""),"",IF(OR(COUNTIFS(Roster!$B$7:$B$26,Roster!$B18,Roster!AL$7:AL$26,"?*")&gt;Setup!$B$5,COUNTIF(Roster!AL$7:AL$26,"?*")&gt;Setup!$B$6),"CLASH","OK"))</f>
        <v/>
      </c>
      <c r="AM18" s="34" t="str">
        <f aca="false">IF(OR(Roster!$A18="",Roster!AM18=""),"",IF(OR(COUNTIFS(Roster!$B$7:$B$26,Roster!$B18,Roster!AM$7:AM$26,"?*")&gt;Setup!$B$5,COUNTIF(Roster!AM$7:AM$26,"?*")&gt;Setup!$B$6),"CLASH","OK"))</f>
        <v/>
      </c>
      <c r="AN18" s="34" t="str">
        <f aca="false">IF(OR(Roster!$A18="",Roster!AN18=""),"",IF(OR(COUNTIFS(Roster!$B$7:$B$26,Roster!$B18,Roster!AN$7:AN$26,"?*")&gt;Setup!$B$5,COUNTIF(Roster!AN$7:AN$26,"?*")&gt;Setup!$B$6),"CLASH","OK"))</f>
        <v/>
      </c>
      <c r="AO18" s="34" t="str">
        <f aca="false">IF(OR(Roster!$A18="",Roster!AO18=""),"",IF(OR(COUNTIFS(Roster!$B$7:$B$26,Roster!$B18,Roster!AO$7:AO$26,"?*")&gt;Setup!$B$5,COUNTIF(Roster!AO$7:AO$26,"?*")&gt;Setup!$B$6),"CLASH","OK"))</f>
        <v/>
      </c>
      <c r="AP18" s="34" t="str">
        <f aca="false">IF(OR(Roster!$A18="",Roster!AP18=""),"",IF(OR(COUNTIFS(Roster!$B$7:$B$26,Roster!$B18,Roster!AP$7:AP$26,"?*")&gt;Setup!$B$5,COUNTIF(Roster!AP$7:AP$26,"?*")&gt;Setup!$B$6),"CLASH","OK"))</f>
        <v/>
      </c>
      <c r="AQ18" s="34" t="str">
        <f aca="false">IF(OR(Roster!$A18="",Roster!AQ18=""),"",IF(OR(COUNTIFS(Roster!$B$7:$B$26,Roster!$B18,Roster!AQ$7:AQ$26,"?*")&gt;Setup!$B$5,COUNTIF(Roster!AQ$7:AQ$26,"?*")&gt;Setup!$B$6),"CLASH","OK"))</f>
        <v/>
      </c>
      <c r="AR18" s="34" t="str">
        <f aca="false">IF(OR(Roster!$A18="",Roster!AR18=""),"",IF(OR(COUNTIFS(Roster!$B$7:$B$26,Roster!$B18,Roster!AR$7:AR$26,"?*")&gt;Setup!$B$5,COUNTIF(Roster!AR$7:AR$26,"?*")&gt;Setup!$B$6),"CLASH","OK"))</f>
        <v/>
      </c>
      <c r="AS18" s="34" t="str">
        <f aca="false">IF(OR(Roster!$A18="",Roster!AS18=""),"",IF(OR(COUNTIFS(Roster!$B$7:$B$26,Roster!$B18,Roster!AS$7:AS$26,"?*")&gt;Setup!$B$5,COUNTIF(Roster!AS$7:AS$26,"?*")&gt;Setup!$B$6),"CLASH","OK"))</f>
        <v/>
      </c>
      <c r="AT18" s="34" t="str">
        <f aca="false">IF(OR(Roster!$A18="",Roster!AT18=""),"",IF(OR(COUNTIFS(Roster!$B$7:$B$26,Roster!$B18,Roster!AT$7:AT$26,"?*")&gt;Setup!$B$5,COUNTIF(Roster!AT$7:AT$26,"?*")&gt;Setup!$B$6),"CLASH","OK"))</f>
        <v/>
      </c>
      <c r="AU18" s="34" t="str">
        <f aca="false">IF(OR(Roster!$A18="",Roster!AU18=""),"",IF(OR(COUNTIFS(Roster!$B$7:$B$26,Roster!$B18,Roster!AU$7:AU$26,"?*")&gt;Setup!$B$5,COUNTIF(Roster!AU$7:AU$26,"?*")&gt;Setup!$B$6),"CLASH","OK"))</f>
        <v/>
      </c>
      <c r="AV18" s="34" t="str">
        <f aca="false">IF(OR(Roster!$A18="",Roster!AV18=""),"",IF(OR(COUNTIFS(Roster!$B$7:$B$26,Roster!$B18,Roster!AV$7:AV$26,"?*")&gt;Setup!$B$5,COUNTIF(Roster!AV$7:AV$26,"?*")&gt;Setup!$B$6),"CLASH","OK"))</f>
        <v/>
      </c>
      <c r="AW18" s="34" t="str">
        <f aca="false">IF(OR(Roster!$A18="",Roster!AW18=""),"",IF(OR(COUNTIFS(Roster!$B$7:$B$26,Roster!$B18,Roster!AW$7:AW$26,"?*")&gt;Setup!$B$5,COUNTIF(Roster!AW$7:AW$26,"?*")&gt;Setup!$B$6),"CLASH","OK"))</f>
        <v/>
      </c>
      <c r="AX18" s="34" t="str">
        <f aca="false">IF(OR(Roster!$A18="",Roster!AX18=""),"",IF(OR(COUNTIFS(Roster!$B$7:$B$26,Roster!$B18,Roster!AX$7:AX$26,"?*")&gt;Setup!$B$5,COUNTIF(Roster!AX$7:AX$26,"?*")&gt;Setup!$B$6),"CLASH","OK"))</f>
        <v/>
      </c>
      <c r="AY18" s="34" t="str">
        <f aca="false">IF(OR(Roster!$A18="",Roster!AY18=""),"",IF(OR(COUNTIFS(Roster!$B$7:$B$26,Roster!$B18,Roster!AY$7:AY$26,"?*")&gt;Setup!$B$5,COUNTIF(Roster!AY$7:AY$26,"?*")&gt;Setup!$B$6),"CLASH","OK"))</f>
        <v/>
      </c>
      <c r="AZ18" s="34" t="str">
        <f aca="false">IF(OR(Roster!$A18="",Roster!AZ18=""),"",IF(OR(COUNTIFS(Roster!$B$7:$B$26,Roster!$B18,Roster!AZ$7:AZ$26,"?*")&gt;Setup!$B$5,COUNTIF(Roster!AZ$7:AZ$26,"?*")&gt;Setup!$B$6),"CLASH","OK"))</f>
        <v/>
      </c>
      <c r="BA18" s="34" t="str">
        <f aca="false">IF(OR(Roster!$A18="",Roster!BA18=""),"",IF(OR(COUNTIFS(Roster!$B$7:$B$26,Roster!$B18,Roster!BA$7:BA$26,"?*")&gt;Setup!$B$5,COUNTIF(Roster!BA$7:BA$26,"?*")&gt;Setup!$B$6),"CLASH","OK"))</f>
        <v/>
      </c>
      <c r="BB18" s="34" t="str">
        <f aca="false">IF(OR(Roster!$A18="",Roster!BB18=""),"",IF(OR(COUNTIFS(Roster!$B$7:$B$26,Roster!$B18,Roster!BB$7:BB$26,"?*")&gt;Setup!$B$5,COUNTIF(Roster!BB$7:BB$26,"?*")&gt;Setup!$B$6),"CLASH","OK"))</f>
        <v/>
      </c>
      <c r="BC18" s="34" t="str">
        <f aca="false">IF(OR(Roster!$A18="",Roster!BC18=""),"",IF(OR(COUNTIFS(Roster!$B$7:$B$26,Roster!$B18,Roster!BC$7:BC$26,"?*")&gt;Setup!$B$5,COUNTIF(Roster!BC$7:BC$26,"?*")&gt;Setup!$B$6),"CLASH","OK"))</f>
        <v/>
      </c>
      <c r="BD18" s="34" t="str">
        <f aca="false">IF(OR(Roster!$A18="",Roster!BD18=""),"",IF(OR(COUNTIFS(Roster!$B$7:$B$26,Roster!$B18,Roster!BD$7:BD$26,"?*")&gt;Setup!$B$5,COUNTIF(Roster!BD$7:BD$26,"?*")&gt;Setup!$B$6),"CLASH","OK"))</f>
        <v/>
      </c>
      <c r="BE18" s="34" t="str">
        <f aca="false">IF(OR(Roster!$A18="",Roster!BE18=""),"",IF(OR(COUNTIFS(Roster!$B$7:$B$26,Roster!$B18,Roster!BE$7:BE$26,"?*")&gt;Setup!$B$5,COUNTIF(Roster!BE$7:BE$26,"?*")&gt;Setup!$B$6),"CLASH","OK"))</f>
        <v/>
      </c>
      <c r="BF18" s="34" t="str">
        <f aca="false">IF(OR(Roster!$A18="",Roster!BF18=""),"",IF(OR(COUNTIFS(Roster!$B$7:$B$26,Roster!$B18,Roster!BF$7:BF$26,"?*")&gt;Setup!$B$5,COUNTIF(Roster!BF$7:BF$26,"?*")&gt;Setup!$B$6),"CLASH","OK"))</f>
        <v/>
      </c>
      <c r="BG18" s="34" t="str">
        <f aca="false">IF(OR(Roster!$A18="",Roster!BG18=""),"",IF(OR(COUNTIFS(Roster!$B$7:$B$26,Roster!$B18,Roster!BG$7:BG$26,"?*")&gt;Setup!$B$5,COUNTIF(Roster!BG$7:BG$26,"?*")&gt;Setup!$B$6),"CLASH","OK"))</f>
        <v/>
      </c>
      <c r="BH18" s="34" t="str">
        <f aca="false">IF(OR(Roster!$A18="",Roster!BH18=""),"",IF(OR(COUNTIFS(Roster!$B$7:$B$26,Roster!$B18,Roster!BH$7:BH$26,"?*")&gt;Setup!$B$5,COUNTIF(Roster!BH$7:BH$26,"?*")&gt;Setup!$B$6),"CLASH","OK"))</f>
        <v/>
      </c>
      <c r="BI18" s="34" t="str">
        <f aca="false">IF(OR(Roster!$A18="",Roster!BI18=""),"",IF(OR(COUNTIFS(Roster!$B$7:$B$26,Roster!$B18,Roster!BI$7:BI$26,"?*")&gt;Setup!$B$5,COUNTIF(Roster!BI$7:BI$26,"?*")&gt;Setup!$B$6),"CLASH","OK"))</f>
        <v/>
      </c>
      <c r="BJ18" s="34" t="str">
        <f aca="false">IF(OR(Roster!$A18="",Roster!BJ18=""),"",IF(OR(COUNTIFS(Roster!$B$7:$B$26,Roster!$B18,Roster!BJ$7:BJ$26,"?*")&gt;Setup!$B$5,COUNTIF(Roster!BJ$7:BJ$26,"?*")&gt;Setup!$B$6),"CLASH","OK"))</f>
        <v/>
      </c>
      <c r="BK18" s="34" t="str">
        <f aca="false">IF(OR(Roster!$A18="",Roster!BK18=""),"",IF(OR(COUNTIFS(Roster!$B$7:$B$26,Roster!$B18,Roster!BK$7:BK$26,"?*")&gt;Setup!$B$5,COUNTIF(Roster!BK$7:BK$26,"?*")&gt;Setup!$B$6),"CLASH","OK"))</f>
        <v/>
      </c>
      <c r="BL18" s="34" t="str">
        <f aca="false">IF(OR(Roster!$A18="",Roster!BL18=""),"",IF(OR(COUNTIFS(Roster!$B$7:$B$26,Roster!$B18,Roster!BL$7:BL$26,"?*")&gt;Setup!$B$5,COUNTIF(Roster!BL$7:BL$26,"?*")&gt;Setup!$B$6),"CLASH","OK"))</f>
        <v/>
      </c>
      <c r="BM18" s="34" t="str">
        <f aca="false">IF(OR(Roster!$A18="",Roster!BM18=""),"",IF(OR(COUNTIFS(Roster!$B$7:$B$26,Roster!$B18,Roster!BM$7:BM$26,"?*")&gt;Setup!$B$5,COUNTIF(Roster!BM$7:BM$26,"?*")&gt;Setup!$B$6),"CLASH","OK"))</f>
        <v/>
      </c>
      <c r="BN18" s="34" t="str">
        <f aca="false">IF(OR(Roster!$A18="",Roster!BN18=""),"",IF(OR(COUNTIFS(Roster!$B$7:$B$26,Roster!$B18,Roster!BN$7:BN$26,"?*")&gt;Setup!$B$5,COUNTIF(Roster!BN$7:BN$26,"?*")&gt;Setup!$B$6),"CLASH","OK"))</f>
        <v/>
      </c>
      <c r="BO18" s="34" t="str">
        <f aca="false">IF(OR(Roster!$A18="",Roster!BO18=""),"",IF(OR(COUNTIFS(Roster!$B$7:$B$26,Roster!$B18,Roster!BO$7:BO$26,"?*")&gt;Setup!$B$5,COUNTIF(Roster!BO$7:BO$26,"?*")&gt;Setup!$B$6),"CLASH","OK"))</f>
        <v/>
      </c>
      <c r="BP18" s="34" t="str">
        <f aca="false">IF(OR(Roster!$A18="",Roster!BP18=""),"",IF(OR(COUNTIFS(Roster!$B$7:$B$26,Roster!$B18,Roster!BP$7:BP$26,"?*")&gt;Setup!$B$5,COUNTIF(Roster!BP$7:BP$26,"?*")&gt;Setup!$B$6),"CLASH","OK"))</f>
        <v/>
      </c>
      <c r="BQ18" s="34" t="str">
        <f aca="false">IF(OR(Roster!$A18="",Roster!BQ18=""),"",IF(OR(COUNTIFS(Roster!$B$7:$B$26,Roster!$B18,Roster!BQ$7:BQ$26,"?*")&gt;Setup!$B$5,COUNTIF(Roster!BQ$7:BQ$26,"?*")&gt;Setup!$B$6),"CLASH","OK"))</f>
        <v/>
      </c>
      <c r="BR18" s="34" t="str">
        <f aca="false">IF(OR(Roster!$A18="",Roster!BR18=""),"",IF(OR(COUNTIFS(Roster!$B$7:$B$26,Roster!$B18,Roster!BR$7:BR$26,"?*")&gt;Setup!$B$5,COUNTIF(Roster!BR$7:BR$26,"?*")&gt;Setup!$B$6),"CLASH","OK"))</f>
        <v/>
      </c>
      <c r="BS18" s="34" t="str">
        <f aca="false">IF(OR(Roster!$A18="",Roster!BS18=""),"",IF(OR(COUNTIFS(Roster!$B$7:$B$26,Roster!$B18,Roster!BS$7:BS$26,"?*")&gt;Setup!$B$5,COUNTIF(Roster!BS$7:BS$26,"?*")&gt;Setup!$B$6),"CLASH","OK"))</f>
        <v/>
      </c>
      <c r="BT18" s="34" t="str">
        <f aca="false">IF(OR(Roster!$A18="",Roster!BT18=""),"",IF(OR(COUNTIFS(Roster!$B$7:$B$26,Roster!$B18,Roster!BT$7:BT$26,"?*")&gt;Setup!$B$5,COUNTIF(Roster!BT$7:BT$26,"?*")&gt;Setup!$B$6),"CLASH","OK"))</f>
        <v/>
      </c>
      <c r="BU18" s="34" t="str">
        <f aca="false">IF(OR(Roster!$A18="",Roster!BU18=""),"",IF(OR(COUNTIFS(Roster!$B$7:$B$26,Roster!$B18,Roster!BU$7:BU$26,"?*")&gt;Setup!$B$5,COUNTIF(Roster!BU$7:BU$26,"?*")&gt;Setup!$B$6),"CLASH","OK"))</f>
        <v/>
      </c>
      <c r="BV18" s="34" t="str">
        <f aca="false">IF(OR(Roster!$A18="",Roster!BV18=""),"",IF(OR(COUNTIFS(Roster!$B$7:$B$26,Roster!$B18,Roster!BV$7:BV$26,"?*")&gt;Setup!$B$5,COUNTIF(Roster!BV$7:BV$26,"?*")&gt;Setup!$B$6),"CLASH","OK"))</f>
        <v/>
      </c>
      <c r="BW18" s="34" t="str">
        <f aca="false">IF(OR(Roster!$A18="",Roster!BW18=""),"",IF(OR(COUNTIFS(Roster!$B$7:$B$26,Roster!$B18,Roster!BW$7:BW$26,"?*")&gt;Setup!$B$5,COUNTIF(Roster!BW$7:BW$26,"?*")&gt;Setup!$B$6),"CLASH","OK"))</f>
        <v/>
      </c>
      <c r="BX18" s="34" t="str">
        <f aca="false">IF(OR(Roster!$A18="",Roster!BX18=""),"",IF(OR(COUNTIFS(Roster!$B$7:$B$26,Roster!$B18,Roster!BX$7:BX$26,"?*")&gt;Setup!$B$5,COUNTIF(Roster!BX$7:BX$26,"?*")&gt;Setup!$B$6),"CLASH","OK"))</f>
        <v/>
      </c>
      <c r="BY18" s="34" t="str">
        <f aca="false">IF(OR(Roster!$A18="",Roster!BY18=""),"",IF(OR(COUNTIFS(Roster!$B$7:$B$26,Roster!$B18,Roster!BY$7:BY$26,"?*")&gt;Setup!$B$5,COUNTIF(Roster!BY$7:BY$26,"?*")&gt;Setup!$B$6),"CLASH","OK"))</f>
        <v/>
      </c>
      <c r="BZ18" s="34" t="str">
        <f aca="false">IF(OR(Roster!$A18="",Roster!BZ18=""),"",IF(OR(COUNTIFS(Roster!$B$7:$B$26,Roster!$B18,Roster!BZ$7:BZ$26,"?*")&gt;Setup!$B$5,COUNTIF(Roster!BZ$7:BZ$26,"?*")&gt;Setup!$B$6),"CLASH","OK"))</f>
        <v/>
      </c>
      <c r="CA18" s="34" t="str">
        <f aca="false">IF(OR(Roster!$A18="",Roster!CA18=""),"",IF(OR(COUNTIFS(Roster!$B$7:$B$26,Roster!$B18,Roster!CA$7:CA$26,"?*")&gt;Setup!$B$5,COUNTIF(Roster!CA$7:CA$26,"?*")&gt;Setup!$B$6),"CLASH","OK"))</f>
        <v/>
      </c>
      <c r="CB18" s="34" t="str">
        <f aca="false">IF(OR(Roster!$A18="",Roster!CB18=""),"",IF(OR(COUNTIFS(Roster!$B$7:$B$26,Roster!$B18,Roster!CB$7:CB$26,"?*")&gt;Setup!$B$5,COUNTIF(Roster!CB$7:CB$26,"?*")&gt;Setup!$B$6),"CLASH","OK"))</f>
        <v/>
      </c>
      <c r="CC18" s="34" t="str">
        <f aca="false">IF(OR(Roster!$A18="",Roster!CC18=""),"",IF(OR(COUNTIFS(Roster!$B$7:$B$26,Roster!$B18,Roster!CC$7:CC$26,"?*")&gt;Setup!$B$5,COUNTIF(Roster!CC$7:CC$26,"?*")&gt;Setup!$B$6),"CLASH","OK"))</f>
        <v/>
      </c>
      <c r="CD18" s="34" t="str">
        <f aca="false">IF(OR(Roster!$A18="",Roster!CD18=""),"",IF(OR(COUNTIFS(Roster!$B$7:$B$26,Roster!$B18,Roster!CD$7:CD$26,"?*")&gt;Setup!$B$5,COUNTIF(Roster!CD$7:CD$26,"?*")&gt;Setup!$B$6),"CLASH","OK"))</f>
        <v/>
      </c>
      <c r="CE18" s="34" t="str">
        <f aca="false">IF(OR(Roster!$A18="",Roster!CE18=""),"",IF(OR(COUNTIFS(Roster!$B$7:$B$26,Roster!$B18,Roster!CE$7:CE$26,"?*")&gt;Setup!$B$5,COUNTIF(Roster!CE$7:CE$26,"?*")&gt;Setup!$B$6),"CLASH","OK"))</f>
        <v/>
      </c>
      <c r="CF18" s="34" t="str">
        <f aca="false">IF(OR(Roster!$A18="",Roster!CF18=""),"",IF(OR(COUNTIFS(Roster!$B$7:$B$26,Roster!$B18,Roster!CF$7:CF$26,"?*")&gt;Setup!$B$5,COUNTIF(Roster!CF$7:CF$26,"?*")&gt;Setup!$B$6),"CLASH","OK"))</f>
        <v/>
      </c>
      <c r="CG18" s="34" t="str">
        <f aca="false">IF(OR(Roster!$A18="",Roster!CG18=""),"",IF(OR(COUNTIFS(Roster!$B$7:$B$26,Roster!$B18,Roster!CG$7:CG$26,"?*")&gt;Setup!$B$5,COUNTIF(Roster!CG$7:CG$26,"?*")&gt;Setup!$B$6),"CLASH","OK"))</f>
        <v/>
      </c>
      <c r="CH18" s="34" t="str">
        <f aca="false">IF(OR(Roster!$A18="",Roster!CH18=""),"",IF(OR(COUNTIFS(Roster!$B$7:$B$26,Roster!$B18,Roster!CH$7:CH$26,"?*")&gt;Setup!$B$5,COUNTIF(Roster!CH$7:CH$26,"?*")&gt;Setup!$B$6),"CLASH","OK"))</f>
        <v/>
      </c>
      <c r="CI18" s="34" t="str">
        <f aca="false">IF(OR(Roster!$A18="",Roster!CI18=""),"",IF(OR(COUNTIFS(Roster!$B$7:$B$26,Roster!$B18,Roster!CI$7:CI$26,"?*")&gt;Setup!$B$5,COUNTIF(Roster!CI$7:CI$26,"?*")&gt;Setup!$B$6),"CLASH","OK"))</f>
        <v/>
      </c>
      <c r="CJ18" s="34" t="str">
        <f aca="false">IF(OR(Roster!$A18="",Roster!CJ18=""),"",IF(OR(COUNTIFS(Roster!$B$7:$B$26,Roster!$B18,Roster!CJ$7:CJ$26,"?*")&gt;Setup!$B$5,COUNTIF(Roster!CJ$7:CJ$26,"?*")&gt;Setup!$B$6),"CLASH","OK"))</f>
        <v/>
      </c>
      <c r="CK18" s="34" t="str">
        <f aca="false">IF(OR(Roster!$A18="",Roster!CK18=""),"",IF(OR(COUNTIFS(Roster!$B$7:$B$26,Roster!$B18,Roster!CK$7:CK$26,"?*")&gt;Setup!$B$5,COUNTIF(Roster!CK$7:CK$26,"?*")&gt;Setup!$B$6),"CLASH","OK"))</f>
        <v/>
      </c>
      <c r="CL18" s="34" t="str">
        <f aca="false">IF(OR(Roster!$A18="",Roster!CL18=""),"",IF(OR(COUNTIFS(Roster!$B$7:$B$26,Roster!$B18,Roster!CL$7:CL$26,"?*")&gt;Setup!$B$5,COUNTIF(Roster!CL$7:CL$26,"?*")&gt;Setup!$B$6),"CLASH","OK"))</f>
        <v/>
      </c>
      <c r="CM18" s="34" t="str">
        <f aca="false">IF(OR(Roster!$A18="",Roster!CM18=""),"",IF(OR(COUNTIFS(Roster!$B$7:$B$26,Roster!$B18,Roster!CM$7:CM$26,"?*")&gt;Setup!$B$5,COUNTIF(Roster!CM$7:CM$26,"?*")&gt;Setup!$B$6),"CLASH","OK"))</f>
        <v/>
      </c>
      <c r="CN18" s="34" t="str">
        <f aca="false">IF(OR(Roster!$A18="",Roster!CN18=""),"",IF(OR(COUNTIFS(Roster!$B$7:$B$26,Roster!$B18,Roster!CN$7:CN$26,"?*")&gt;Setup!$B$5,COUNTIF(Roster!CN$7:CN$26,"?*")&gt;Setup!$B$6),"CLASH","OK"))</f>
        <v/>
      </c>
      <c r="CO18" s="34" t="str">
        <f aca="false">IF(OR(Roster!$A18="",Roster!CO18=""),"",IF(OR(COUNTIFS(Roster!$B$7:$B$26,Roster!$B18,Roster!CO$7:CO$26,"?*")&gt;Setup!$B$5,COUNTIF(Roster!CO$7:CO$26,"?*")&gt;Setup!$B$6),"CLASH","OK"))</f>
        <v/>
      </c>
      <c r="CP18" s="34" t="str">
        <f aca="false">IF(OR(Roster!$A18="",Roster!CP18=""),"",IF(OR(COUNTIFS(Roster!$B$7:$B$26,Roster!$B18,Roster!CP$7:CP$26,"?*")&gt;Setup!$B$5,COUNTIF(Roster!CP$7:CP$26,"?*")&gt;Setup!$B$6),"CLASH","OK"))</f>
        <v/>
      </c>
      <c r="CQ18" s="34" t="str">
        <f aca="false">IF(OR(Roster!$A18="",Roster!CQ18=""),"",IF(OR(COUNTIFS(Roster!$B$7:$B$26,Roster!$B18,Roster!CQ$7:CQ$26,"?*")&gt;Setup!$B$5,COUNTIF(Roster!CQ$7:CQ$26,"?*")&gt;Setup!$B$6),"CLASH","OK"))</f>
        <v/>
      </c>
      <c r="CR18" s="34" t="str">
        <f aca="false">IF(OR(Roster!$A18="",Roster!CR18=""),"",IF(OR(COUNTIFS(Roster!$B$7:$B$26,Roster!$B18,Roster!CR$7:CR$26,"?*")&gt;Setup!$B$5,COUNTIF(Roster!CR$7:CR$26,"?*")&gt;Setup!$B$6),"CLASH","OK"))</f>
        <v/>
      </c>
      <c r="CS18" s="34" t="str">
        <f aca="false">IF(OR(Roster!$A18="",Roster!CS18=""),"",IF(OR(COUNTIFS(Roster!$B$7:$B$26,Roster!$B18,Roster!CS$7:CS$26,"?*")&gt;Setup!$B$5,COUNTIF(Roster!CS$7:CS$26,"?*")&gt;Setup!$B$6),"CLASH","OK"))</f>
        <v/>
      </c>
      <c r="CT18" s="34" t="str">
        <f aca="false">IF(OR(Roster!$A18="",Roster!CT18=""),"",IF(OR(COUNTIFS(Roster!$B$7:$B$26,Roster!$B18,Roster!CT$7:CT$26,"?*")&gt;Setup!$B$5,COUNTIF(Roster!CT$7:CT$26,"?*")&gt;Setup!$B$6),"CLASH","OK"))</f>
        <v/>
      </c>
      <c r="CU18" s="34" t="str">
        <f aca="false">IF(OR(Roster!$A18="",Roster!CU18=""),"",IF(OR(COUNTIFS(Roster!$B$7:$B$26,Roster!$B18,Roster!CU$7:CU$26,"?*")&gt;Setup!$B$5,COUNTIF(Roster!CU$7:CU$26,"?*")&gt;Setup!$B$6),"CLASH","OK"))</f>
        <v/>
      </c>
    </row>
    <row r="19" customFormat="false" ht="15" hidden="false" customHeight="false" outlineLevel="0" collapsed="false">
      <c r="A19" s="33" t="str">
        <f aca="false">IF(Roster!A19="","",Roster!A19)</f>
        <v/>
      </c>
      <c r="B19" s="33" t="str">
        <f aca="false">IF(Roster!A19="","",Roster!B19)</f>
        <v/>
      </c>
      <c r="H19" s="34" t="str">
        <f aca="false">IF(OR(Roster!$A19="",Roster!H19=""),"",IF(OR(COUNTIFS(Roster!$B$7:$B$26,Roster!$B19,Roster!H$7:H$26,"?*")&gt;Setup!$B$5,COUNTIF(Roster!H$7:H$26,"?*")&gt;Setup!$B$6),"CLASH","OK"))</f>
        <v/>
      </c>
      <c r="I19" s="34" t="str">
        <f aca="false">IF(OR(Roster!$A19="",Roster!I19=""),"",IF(OR(COUNTIFS(Roster!$B$7:$B$26,Roster!$B19,Roster!I$7:I$26,"?*")&gt;Setup!$B$5,COUNTIF(Roster!I$7:I$26,"?*")&gt;Setup!$B$6),"CLASH","OK"))</f>
        <v/>
      </c>
      <c r="J19" s="34" t="str">
        <f aca="false">IF(OR(Roster!$A19="",Roster!J19=""),"",IF(OR(COUNTIFS(Roster!$B$7:$B$26,Roster!$B19,Roster!J$7:J$26,"?*")&gt;Setup!$B$5,COUNTIF(Roster!J$7:J$26,"?*")&gt;Setup!$B$6),"CLASH","OK"))</f>
        <v/>
      </c>
      <c r="K19" s="34" t="str">
        <f aca="false">IF(OR(Roster!$A19="",Roster!K19=""),"",IF(OR(COUNTIFS(Roster!$B$7:$B$26,Roster!$B19,Roster!K$7:K$26,"?*")&gt;Setup!$B$5,COUNTIF(Roster!K$7:K$26,"?*")&gt;Setup!$B$6),"CLASH","OK"))</f>
        <v/>
      </c>
      <c r="L19" s="34" t="str">
        <f aca="false">IF(OR(Roster!$A19="",Roster!L19=""),"",IF(OR(COUNTIFS(Roster!$B$7:$B$26,Roster!$B19,Roster!L$7:L$26,"?*")&gt;Setup!$B$5,COUNTIF(Roster!L$7:L$26,"?*")&gt;Setup!$B$6),"CLASH","OK"))</f>
        <v/>
      </c>
      <c r="M19" s="34" t="str">
        <f aca="false">IF(OR(Roster!$A19="",Roster!M19=""),"",IF(OR(COUNTIFS(Roster!$B$7:$B$26,Roster!$B19,Roster!M$7:M$26,"?*")&gt;Setup!$B$5,COUNTIF(Roster!M$7:M$26,"?*")&gt;Setup!$B$6),"CLASH","OK"))</f>
        <v/>
      </c>
      <c r="N19" s="34" t="str">
        <f aca="false">IF(OR(Roster!$A19="",Roster!N19=""),"",IF(OR(COUNTIFS(Roster!$B$7:$B$26,Roster!$B19,Roster!N$7:N$26,"?*")&gt;Setup!$B$5,COUNTIF(Roster!N$7:N$26,"?*")&gt;Setup!$B$6),"CLASH","OK"))</f>
        <v/>
      </c>
      <c r="O19" s="34" t="str">
        <f aca="false">IF(OR(Roster!$A19="",Roster!O19=""),"",IF(OR(COUNTIFS(Roster!$B$7:$B$26,Roster!$B19,Roster!O$7:O$26,"?*")&gt;Setup!$B$5,COUNTIF(Roster!O$7:O$26,"?*")&gt;Setup!$B$6),"CLASH","OK"))</f>
        <v/>
      </c>
      <c r="P19" s="34" t="str">
        <f aca="false">IF(OR(Roster!$A19="",Roster!P19=""),"",IF(OR(COUNTIFS(Roster!$B$7:$B$26,Roster!$B19,Roster!P$7:P$26,"?*")&gt;Setup!$B$5,COUNTIF(Roster!P$7:P$26,"?*")&gt;Setup!$B$6),"CLASH","OK"))</f>
        <v/>
      </c>
      <c r="Q19" s="34" t="str">
        <f aca="false">IF(OR(Roster!$A19="",Roster!Q19=""),"",IF(OR(COUNTIFS(Roster!$B$7:$B$26,Roster!$B19,Roster!Q$7:Q$26,"?*")&gt;Setup!$B$5,COUNTIF(Roster!Q$7:Q$26,"?*")&gt;Setup!$B$6),"CLASH","OK"))</f>
        <v/>
      </c>
      <c r="R19" s="34" t="str">
        <f aca="false">IF(OR(Roster!$A19="",Roster!R19=""),"",IF(OR(COUNTIFS(Roster!$B$7:$B$26,Roster!$B19,Roster!R$7:R$26,"?*")&gt;Setup!$B$5,COUNTIF(Roster!R$7:R$26,"?*")&gt;Setup!$B$6),"CLASH","OK"))</f>
        <v/>
      </c>
      <c r="S19" s="34" t="str">
        <f aca="false">IF(OR(Roster!$A19="",Roster!S19=""),"",IF(OR(COUNTIFS(Roster!$B$7:$B$26,Roster!$B19,Roster!S$7:S$26,"?*")&gt;Setup!$B$5,COUNTIF(Roster!S$7:S$26,"?*")&gt;Setup!$B$6),"CLASH","OK"))</f>
        <v/>
      </c>
      <c r="T19" s="34" t="str">
        <f aca="false">IF(OR(Roster!$A19="",Roster!T19=""),"",IF(OR(COUNTIFS(Roster!$B$7:$B$26,Roster!$B19,Roster!T$7:T$26,"?*")&gt;Setup!$B$5,COUNTIF(Roster!T$7:T$26,"?*")&gt;Setup!$B$6),"CLASH","OK"))</f>
        <v/>
      </c>
      <c r="U19" s="34" t="str">
        <f aca="false">IF(OR(Roster!$A19="",Roster!U19=""),"",IF(OR(COUNTIFS(Roster!$B$7:$B$26,Roster!$B19,Roster!U$7:U$26,"?*")&gt;Setup!$B$5,COUNTIF(Roster!U$7:U$26,"?*")&gt;Setup!$B$6),"CLASH","OK"))</f>
        <v/>
      </c>
      <c r="V19" s="34" t="str">
        <f aca="false">IF(OR(Roster!$A19="",Roster!V19=""),"",IF(OR(COUNTIFS(Roster!$B$7:$B$26,Roster!$B19,Roster!V$7:V$26,"?*")&gt;Setup!$B$5,COUNTIF(Roster!V$7:V$26,"?*")&gt;Setup!$B$6),"CLASH","OK"))</f>
        <v/>
      </c>
      <c r="W19" s="34" t="str">
        <f aca="false">IF(OR(Roster!$A19="",Roster!W19=""),"",IF(OR(COUNTIFS(Roster!$B$7:$B$26,Roster!$B19,Roster!W$7:W$26,"?*")&gt;Setup!$B$5,COUNTIF(Roster!W$7:W$26,"?*")&gt;Setup!$B$6),"CLASH","OK"))</f>
        <v/>
      </c>
      <c r="X19" s="34" t="str">
        <f aca="false">IF(OR(Roster!$A19="",Roster!X19=""),"",IF(OR(COUNTIFS(Roster!$B$7:$B$26,Roster!$B19,Roster!X$7:X$26,"?*")&gt;Setup!$B$5,COUNTIF(Roster!X$7:X$26,"?*")&gt;Setup!$B$6),"CLASH","OK"))</f>
        <v/>
      </c>
      <c r="Y19" s="34" t="str">
        <f aca="false">IF(OR(Roster!$A19="",Roster!Y19=""),"",IF(OR(COUNTIFS(Roster!$B$7:$B$26,Roster!$B19,Roster!Y$7:Y$26,"?*")&gt;Setup!$B$5,COUNTIF(Roster!Y$7:Y$26,"?*")&gt;Setup!$B$6),"CLASH","OK"))</f>
        <v/>
      </c>
      <c r="Z19" s="34" t="str">
        <f aca="false">IF(OR(Roster!$A19="",Roster!Z19=""),"",IF(OR(COUNTIFS(Roster!$B$7:$B$26,Roster!$B19,Roster!Z$7:Z$26,"?*")&gt;Setup!$B$5,COUNTIF(Roster!Z$7:Z$26,"?*")&gt;Setup!$B$6),"CLASH","OK"))</f>
        <v/>
      </c>
      <c r="AA19" s="34" t="str">
        <f aca="false">IF(OR(Roster!$A19="",Roster!AA19=""),"",IF(OR(COUNTIFS(Roster!$B$7:$B$26,Roster!$B19,Roster!AA$7:AA$26,"?*")&gt;Setup!$B$5,COUNTIF(Roster!AA$7:AA$26,"?*")&gt;Setup!$B$6),"CLASH","OK"))</f>
        <v/>
      </c>
      <c r="AB19" s="34" t="str">
        <f aca="false">IF(OR(Roster!$A19="",Roster!AB19=""),"",IF(OR(COUNTIFS(Roster!$B$7:$B$26,Roster!$B19,Roster!AB$7:AB$26,"?*")&gt;Setup!$B$5,COUNTIF(Roster!AB$7:AB$26,"?*")&gt;Setup!$B$6),"CLASH","OK"))</f>
        <v/>
      </c>
      <c r="AC19" s="34" t="str">
        <f aca="false">IF(OR(Roster!$A19="",Roster!AC19=""),"",IF(OR(COUNTIFS(Roster!$B$7:$B$26,Roster!$B19,Roster!AC$7:AC$26,"?*")&gt;Setup!$B$5,COUNTIF(Roster!AC$7:AC$26,"?*")&gt;Setup!$B$6),"CLASH","OK"))</f>
        <v/>
      </c>
      <c r="AD19" s="34" t="str">
        <f aca="false">IF(OR(Roster!$A19="",Roster!AD19=""),"",IF(OR(COUNTIFS(Roster!$B$7:$B$26,Roster!$B19,Roster!AD$7:AD$26,"?*")&gt;Setup!$B$5,COUNTIF(Roster!AD$7:AD$26,"?*")&gt;Setup!$B$6),"CLASH","OK"))</f>
        <v/>
      </c>
      <c r="AE19" s="34" t="str">
        <f aca="false">IF(OR(Roster!$A19="",Roster!AE19=""),"",IF(OR(COUNTIFS(Roster!$B$7:$B$26,Roster!$B19,Roster!AE$7:AE$26,"?*")&gt;Setup!$B$5,COUNTIF(Roster!AE$7:AE$26,"?*")&gt;Setup!$B$6),"CLASH","OK"))</f>
        <v/>
      </c>
      <c r="AF19" s="34" t="str">
        <f aca="false">IF(OR(Roster!$A19="",Roster!AF19=""),"",IF(OR(COUNTIFS(Roster!$B$7:$B$26,Roster!$B19,Roster!AF$7:AF$26,"?*")&gt;Setup!$B$5,COUNTIF(Roster!AF$7:AF$26,"?*")&gt;Setup!$B$6),"CLASH","OK"))</f>
        <v/>
      </c>
      <c r="AG19" s="34" t="str">
        <f aca="false">IF(OR(Roster!$A19="",Roster!AG19=""),"",IF(OR(COUNTIFS(Roster!$B$7:$B$26,Roster!$B19,Roster!AG$7:AG$26,"?*")&gt;Setup!$B$5,COUNTIF(Roster!AG$7:AG$26,"?*")&gt;Setup!$B$6),"CLASH","OK"))</f>
        <v/>
      </c>
      <c r="AH19" s="34" t="str">
        <f aca="false">IF(OR(Roster!$A19="",Roster!AH19=""),"",IF(OR(COUNTIFS(Roster!$B$7:$B$26,Roster!$B19,Roster!AH$7:AH$26,"?*")&gt;Setup!$B$5,COUNTIF(Roster!AH$7:AH$26,"?*")&gt;Setup!$B$6),"CLASH","OK"))</f>
        <v/>
      </c>
      <c r="AI19" s="34" t="str">
        <f aca="false">IF(OR(Roster!$A19="",Roster!AI19=""),"",IF(OR(COUNTIFS(Roster!$B$7:$B$26,Roster!$B19,Roster!AI$7:AI$26,"?*")&gt;Setup!$B$5,COUNTIF(Roster!AI$7:AI$26,"?*")&gt;Setup!$B$6),"CLASH","OK"))</f>
        <v/>
      </c>
      <c r="AJ19" s="34" t="str">
        <f aca="false">IF(OR(Roster!$A19="",Roster!AJ19=""),"",IF(OR(COUNTIFS(Roster!$B$7:$B$26,Roster!$B19,Roster!AJ$7:AJ$26,"?*")&gt;Setup!$B$5,COUNTIF(Roster!AJ$7:AJ$26,"?*")&gt;Setup!$B$6),"CLASH","OK"))</f>
        <v/>
      </c>
      <c r="AK19" s="34" t="str">
        <f aca="false">IF(OR(Roster!$A19="",Roster!AK19=""),"",IF(OR(COUNTIFS(Roster!$B$7:$B$26,Roster!$B19,Roster!AK$7:AK$26,"?*")&gt;Setup!$B$5,COUNTIF(Roster!AK$7:AK$26,"?*")&gt;Setup!$B$6),"CLASH","OK"))</f>
        <v/>
      </c>
      <c r="AL19" s="34" t="str">
        <f aca="false">IF(OR(Roster!$A19="",Roster!AL19=""),"",IF(OR(COUNTIFS(Roster!$B$7:$B$26,Roster!$B19,Roster!AL$7:AL$26,"?*")&gt;Setup!$B$5,COUNTIF(Roster!AL$7:AL$26,"?*")&gt;Setup!$B$6),"CLASH","OK"))</f>
        <v/>
      </c>
      <c r="AM19" s="34" t="str">
        <f aca="false">IF(OR(Roster!$A19="",Roster!AM19=""),"",IF(OR(COUNTIFS(Roster!$B$7:$B$26,Roster!$B19,Roster!AM$7:AM$26,"?*")&gt;Setup!$B$5,COUNTIF(Roster!AM$7:AM$26,"?*")&gt;Setup!$B$6),"CLASH","OK"))</f>
        <v/>
      </c>
      <c r="AN19" s="34" t="str">
        <f aca="false">IF(OR(Roster!$A19="",Roster!AN19=""),"",IF(OR(COUNTIFS(Roster!$B$7:$B$26,Roster!$B19,Roster!AN$7:AN$26,"?*")&gt;Setup!$B$5,COUNTIF(Roster!AN$7:AN$26,"?*")&gt;Setup!$B$6),"CLASH","OK"))</f>
        <v/>
      </c>
      <c r="AO19" s="34" t="str">
        <f aca="false">IF(OR(Roster!$A19="",Roster!AO19=""),"",IF(OR(COUNTIFS(Roster!$B$7:$B$26,Roster!$B19,Roster!AO$7:AO$26,"?*")&gt;Setup!$B$5,COUNTIF(Roster!AO$7:AO$26,"?*")&gt;Setup!$B$6),"CLASH","OK"))</f>
        <v/>
      </c>
      <c r="AP19" s="34" t="str">
        <f aca="false">IF(OR(Roster!$A19="",Roster!AP19=""),"",IF(OR(COUNTIFS(Roster!$B$7:$B$26,Roster!$B19,Roster!AP$7:AP$26,"?*")&gt;Setup!$B$5,COUNTIF(Roster!AP$7:AP$26,"?*")&gt;Setup!$B$6),"CLASH","OK"))</f>
        <v/>
      </c>
      <c r="AQ19" s="34" t="str">
        <f aca="false">IF(OR(Roster!$A19="",Roster!AQ19=""),"",IF(OR(COUNTIFS(Roster!$B$7:$B$26,Roster!$B19,Roster!AQ$7:AQ$26,"?*")&gt;Setup!$B$5,COUNTIF(Roster!AQ$7:AQ$26,"?*")&gt;Setup!$B$6),"CLASH","OK"))</f>
        <v/>
      </c>
      <c r="AR19" s="34" t="str">
        <f aca="false">IF(OR(Roster!$A19="",Roster!AR19=""),"",IF(OR(COUNTIFS(Roster!$B$7:$B$26,Roster!$B19,Roster!AR$7:AR$26,"?*")&gt;Setup!$B$5,COUNTIF(Roster!AR$7:AR$26,"?*")&gt;Setup!$B$6),"CLASH","OK"))</f>
        <v/>
      </c>
      <c r="AS19" s="34" t="str">
        <f aca="false">IF(OR(Roster!$A19="",Roster!AS19=""),"",IF(OR(COUNTIFS(Roster!$B$7:$B$26,Roster!$B19,Roster!AS$7:AS$26,"?*")&gt;Setup!$B$5,COUNTIF(Roster!AS$7:AS$26,"?*")&gt;Setup!$B$6),"CLASH","OK"))</f>
        <v/>
      </c>
      <c r="AT19" s="34" t="str">
        <f aca="false">IF(OR(Roster!$A19="",Roster!AT19=""),"",IF(OR(COUNTIFS(Roster!$B$7:$B$26,Roster!$B19,Roster!AT$7:AT$26,"?*")&gt;Setup!$B$5,COUNTIF(Roster!AT$7:AT$26,"?*")&gt;Setup!$B$6),"CLASH","OK"))</f>
        <v/>
      </c>
      <c r="AU19" s="34" t="str">
        <f aca="false">IF(OR(Roster!$A19="",Roster!AU19=""),"",IF(OR(COUNTIFS(Roster!$B$7:$B$26,Roster!$B19,Roster!AU$7:AU$26,"?*")&gt;Setup!$B$5,COUNTIF(Roster!AU$7:AU$26,"?*")&gt;Setup!$B$6),"CLASH","OK"))</f>
        <v/>
      </c>
      <c r="AV19" s="34" t="str">
        <f aca="false">IF(OR(Roster!$A19="",Roster!AV19=""),"",IF(OR(COUNTIFS(Roster!$B$7:$B$26,Roster!$B19,Roster!AV$7:AV$26,"?*")&gt;Setup!$B$5,COUNTIF(Roster!AV$7:AV$26,"?*")&gt;Setup!$B$6),"CLASH","OK"))</f>
        <v/>
      </c>
      <c r="AW19" s="34" t="str">
        <f aca="false">IF(OR(Roster!$A19="",Roster!AW19=""),"",IF(OR(COUNTIFS(Roster!$B$7:$B$26,Roster!$B19,Roster!AW$7:AW$26,"?*")&gt;Setup!$B$5,COUNTIF(Roster!AW$7:AW$26,"?*")&gt;Setup!$B$6),"CLASH","OK"))</f>
        <v/>
      </c>
      <c r="AX19" s="34" t="str">
        <f aca="false">IF(OR(Roster!$A19="",Roster!AX19=""),"",IF(OR(COUNTIFS(Roster!$B$7:$B$26,Roster!$B19,Roster!AX$7:AX$26,"?*")&gt;Setup!$B$5,COUNTIF(Roster!AX$7:AX$26,"?*")&gt;Setup!$B$6),"CLASH","OK"))</f>
        <v/>
      </c>
      <c r="AY19" s="34" t="str">
        <f aca="false">IF(OR(Roster!$A19="",Roster!AY19=""),"",IF(OR(COUNTIFS(Roster!$B$7:$B$26,Roster!$B19,Roster!AY$7:AY$26,"?*")&gt;Setup!$B$5,COUNTIF(Roster!AY$7:AY$26,"?*")&gt;Setup!$B$6),"CLASH","OK"))</f>
        <v/>
      </c>
      <c r="AZ19" s="34" t="str">
        <f aca="false">IF(OR(Roster!$A19="",Roster!AZ19=""),"",IF(OR(COUNTIFS(Roster!$B$7:$B$26,Roster!$B19,Roster!AZ$7:AZ$26,"?*")&gt;Setup!$B$5,COUNTIF(Roster!AZ$7:AZ$26,"?*")&gt;Setup!$B$6),"CLASH","OK"))</f>
        <v/>
      </c>
      <c r="BA19" s="34" t="str">
        <f aca="false">IF(OR(Roster!$A19="",Roster!BA19=""),"",IF(OR(COUNTIFS(Roster!$B$7:$B$26,Roster!$B19,Roster!BA$7:BA$26,"?*")&gt;Setup!$B$5,COUNTIF(Roster!BA$7:BA$26,"?*")&gt;Setup!$B$6),"CLASH","OK"))</f>
        <v/>
      </c>
      <c r="BB19" s="34" t="str">
        <f aca="false">IF(OR(Roster!$A19="",Roster!BB19=""),"",IF(OR(COUNTIFS(Roster!$B$7:$B$26,Roster!$B19,Roster!BB$7:BB$26,"?*")&gt;Setup!$B$5,COUNTIF(Roster!BB$7:BB$26,"?*")&gt;Setup!$B$6),"CLASH","OK"))</f>
        <v/>
      </c>
      <c r="BC19" s="34" t="str">
        <f aca="false">IF(OR(Roster!$A19="",Roster!BC19=""),"",IF(OR(COUNTIFS(Roster!$B$7:$B$26,Roster!$B19,Roster!BC$7:BC$26,"?*")&gt;Setup!$B$5,COUNTIF(Roster!BC$7:BC$26,"?*")&gt;Setup!$B$6),"CLASH","OK"))</f>
        <v/>
      </c>
      <c r="BD19" s="34" t="str">
        <f aca="false">IF(OR(Roster!$A19="",Roster!BD19=""),"",IF(OR(COUNTIFS(Roster!$B$7:$B$26,Roster!$B19,Roster!BD$7:BD$26,"?*")&gt;Setup!$B$5,COUNTIF(Roster!BD$7:BD$26,"?*")&gt;Setup!$B$6),"CLASH","OK"))</f>
        <v/>
      </c>
      <c r="BE19" s="34" t="str">
        <f aca="false">IF(OR(Roster!$A19="",Roster!BE19=""),"",IF(OR(COUNTIFS(Roster!$B$7:$B$26,Roster!$B19,Roster!BE$7:BE$26,"?*")&gt;Setup!$B$5,COUNTIF(Roster!BE$7:BE$26,"?*")&gt;Setup!$B$6),"CLASH","OK"))</f>
        <v/>
      </c>
      <c r="BF19" s="34" t="str">
        <f aca="false">IF(OR(Roster!$A19="",Roster!BF19=""),"",IF(OR(COUNTIFS(Roster!$B$7:$B$26,Roster!$B19,Roster!BF$7:BF$26,"?*")&gt;Setup!$B$5,COUNTIF(Roster!BF$7:BF$26,"?*")&gt;Setup!$B$6),"CLASH","OK"))</f>
        <v/>
      </c>
      <c r="BG19" s="34" t="str">
        <f aca="false">IF(OR(Roster!$A19="",Roster!BG19=""),"",IF(OR(COUNTIFS(Roster!$B$7:$B$26,Roster!$B19,Roster!BG$7:BG$26,"?*")&gt;Setup!$B$5,COUNTIF(Roster!BG$7:BG$26,"?*")&gt;Setup!$B$6),"CLASH","OK"))</f>
        <v/>
      </c>
      <c r="BH19" s="34" t="str">
        <f aca="false">IF(OR(Roster!$A19="",Roster!BH19=""),"",IF(OR(COUNTIFS(Roster!$B$7:$B$26,Roster!$B19,Roster!BH$7:BH$26,"?*")&gt;Setup!$B$5,COUNTIF(Roster!BH$7:BH$26,"?*")&gt;Setup!$B$6),"CLASH","OK"))</f>
        <v/>
      </c>
      <c r="BI19" s="34" t="str">
        <f aca="false">IF(OR(Roster!$A19="",Roster!BI19=""),"",IF(OR(COUNTIFS(Roster!$B$7:$B$26,Roster!$B19,Roster!BI$7:BI$26,"?*")&gt;Setup!$B$5,COUNTIF(Roster!BI$7:BI$26,"?*")&gt;Setup!$B$6),"CLASH","OK"))</f>
        <v/>
      </c>
      <c r="BJ19" s="34" t="str">
        <f aca="false">IF(OR(Roster!$A19="",Roster!BJ19=""),"",IF(OR(COUNTIFS(Roster!$B$7:$B$26,Roster!$B19,Roster!BJ$7:BJ$26,"?*")&gt;Setup!$B$5,COUNTIF(Roster!BJ$7:BJ$26,"?*")&gt;Setup!$B$6),"CLASH","OK"))</f>
        <v/>
      </c>
      <c r="BK19" s="34" t="str">
        <f aca="false">IF(OR(Roster!$A19="",Roster!BK19=""),"",IF(OR(COUNTIFS(Roster!$B$7:$B$26,Roster!$B19,Roster!BK$7:BK$26,"?*")&gt;Setup!$B$5,COUNTIF(Roster!BK$7:BK$26,"?*")&gt;Setup!$B$6),"CLASH","OK"))</f>
        <v/>
      </c>
      <c r="BL19" s="34" t="str">
        <f aca="false">IF(OR(Roster!$A19="",Roster!BL19=""),"",IF(OR(COUNTIFS(Roster!$B$7:$B$26,Roster!$B19,Roster!BL$7:BL$26,"?*")&gt;Setup!$B$5,COUNTIF(Roster!BL$7:BL$26,"?*")&gt;Setup!$B$6),"CLASH","OK"))</f>
        <v/>
      </c>
      <c r="BM19" s="34" t="str">
        <f aca="false">IF(OR(Roster!$A19="",Roster!BM19=""),"",IF(OR(COUNTIFS(Roster!$B$7:$B$26,Roster!$B19,Roster!BM$7:BM$26,"?*")&gt;Setup!$B$5,COUNTIF(Roster!BM$7:BM$26,"?*")&gt;Setup!$B$6),"CLASH","OK"))</f>
        <v/>
      </c>
      <c r="BN19" s="34" t="str">
        <f aca="false">IF(OR(Roster!$A19="",Roster!BN19=""),"",IF(OR(COUNTIFS(Roster!$B$7:$B$26,Roster!$B19,Roster!BN$7:BN$26,"?*")&gt;Setup!$B$5,COUNTIF(Roster!BN$7:BN$26,"?*")&gt;Setup!$B$6),"CLASH","OK"))</f>
        <v/>
      </c>
      <c r="BO19" s="34" t="str">
        <f aca="false">IF(OR(Roster!$A19="",Roster!BO19=""),"",IF(OR(COUNTIFS(Roster!$B$7:$B$26,Roster!$B19,Roster!BO$7:BO$26,"?*")&gt;Setup!$B$5,COUNTIF(Roster!BO$7:BO$26,"?*")&gt;Setup!$B$6),"CLASH","OK"))</f>
        <v/>
      </c>
      <c r="BP19" s="34" t="str">
        <f aca="false">IF(OR(Roster!$A19="",Roster!BP19=""),"",IF(OR(COUNTIFS(Roster!$B$7:$B$26,Roster!$B19,Roster!BP$7:BP$26,"?*")&gt;Setup!$B$5,COUNTIF(Roster!BP$7:BP$26,"?*")&gt;Setup!$B$6),"CLASH","OK"))</f>
        <v/>
      </c>
      <c r="BQ19" s="34" t="str">
        <f aca="false">IF(OR(Roster!$A19="",Roster!BQ19=""),"",IF(OR(COUNTIFS(Roster!$B$7:$B$26,Roster!$B19,Roster!BQ$7:BQ$26,"?*")&gt;Setup!$B$5,COUNTIF(Roster!BQ$7:BQ$26,"?*")&gt;Setup!$B$6),"CLASH","OK"))</f>
        <v/>
      </c>
      <c r="BR19" s="34" t="str">
        <f aca="false">IF(OR(Roster!$A19="",Roster!BR19=""),"",IF(OR(COUNTIFS(Roster!$B$7:$B$26,Roster!$B19,Roster!BR$7:BR$26,"?*")&gt;Setup!$B$5,COUNTIF(Roster!BR$7:BR$26,"?*")&gt;Setup!$B$6),"CLASH","OK"))</f>
        <v/>
      </c>
      <c r="BS19" s="34" t="str">
        <f aca="false">IF(OR(Roster!$A19="",Roster!BS19=""),"",IF(OR(COUNTIFS(Roster!$B$7:$B$26,Roster!$B19,Roster!BS$7:BS$26,"?*")&gt;Setup!$B$5,COUNTIF(Roster!BS$7:BS$26,"?*")&gt;Setup!$B$6),"CLASH","OK"))</f>
        <v/>
      </c>
      <c r="BT19" s="34" t="str">
        <f aca="false">IF(OR(Roster!$A19="",Roster!BT19=""),"",IF(OR(COUNTIFS(Roster!$B$7:$B$26,Roster!$B19,Roster!BT$7:BT$26,"?*")&gt;Setup!$B$5,COUNTIF(Roster!BT$7:BT$26,"?*")&gt;Setup!$B$6),"CLASH","OK"))</f>
        <v/>
      </c>
      <c r="BU19" s="34" t="str">
        <f aca="false">IF(OR(Roster!$A19="",Roster!BU19=""),"",IF(OR(COUNTIFS(Roster!$B$7:$B$26,Roster!$B19,Roster!BU$7:BU$26,"?*")&gt;Setup!$B$5,COUNTIF(Roster!BU$7:BU$26,"?*")&gt;Setup!$B$6),"CLASH","OK"))</f>
        <v/>
      </c>
      <c r="BV19" s="34" t="str">
        <f aca="false">IF(OR(Roster!$A19="",Roster!BV19=""),"",IF(OR(COUNTIFS(Roster!$B$7:$B$26,Roster!$B19,Roster!BV$7:BV$26,"?*")&gt;Setup!$B$5,COUNTIF(Roster!BV$7:BV$26,"?*")&gt;Setup!$B$6),"CLASH","OK"))</f>
        <v/>
      </c>
      <c r="BW19" s="34" t="str">
        <f aca="false">IF(OR(Roster!$A19="",Roster!BW19=""),"",IF(OR(COUNTIFS(Roster!$B$7:$B$26,Roster!$B19,Roster!BW$7:BW$26,"?*")&gt;Setup!$B$5,COUNTIF(Roster!BW$7:BW$26,"?*")&gt;Setup!$B$6),"CLASH","OK"))</f>
        <v/>
      </c>
      <c r="BX19" s="34" t="str">
        <f aca="false">IF(OR(Roster!$A19="",Roster!BX19=""),"",IF(OR(COUNTIFS(Roster!$B$7:$B$26,Roster!$B19,Roster!BX$7:BX$26,"?*")&gt;Setup!$B$5,COUNTIF(Roster!BX$7:BX$26,"?*")&gt;Setup!$B$6),"CLASH","OK"))</f>
        <v/>
      </c>
      <c r="BY19" s="34" t="str">
        <f aca="false">IF(OR(Roster!$A19="",Roster!BY19=""),"",IF(OR(COUNTIFS(Roster!$B$7:$B$26,Roster!$B19,Roster!BY$7:BY$26,"?*")&gt;Setup!$B$5,COUNTIF(Roster!BY$7:BY$26,"?*")&gt;Setup!$B$6),"CLASH","OK"))</f>
        <v/>
      </c>
      <c r="BZ19" s="34" t="str">
        <f aca="false">IF(OR(Roster!$A19="",Roster!BZ19=""),"",IF(OR(COUNTIFS(Roster!$B$7:$B$26,Roster!$B19,Roster!BZ$7:BZ$26,"?*")&gt;Setup!$B$5,COUNTIF(Roster!BZ$7:BZ$26,"?*")&gt;Setup!$B$6),"CLASH","OK"))</f>
        <v/>
      </c>
      <c r="CA19" s="34" t="str">
        <f aca="false">IF(OR(Roster!$A19="",Roster!CA19=""),"",IF(OR(COUNTIFS(Roster!$B$7:$B$26,Roster!$B19,Roster!CA$7:CA$26,"?*")&gt;Setup!$B$5,COUNTIF(Roster!CA$7:CA$26,"?*")&gt;Setup!$B$6),"CLASH","OK"))</f>
        <v/>
      </c>
      <c r="CB19" s="34" t="str">
        <f aca="false">IF(OR(Roster!$A19="",Roster!CB19=""),"",IF(OR(COUNTIFS(Roster!$B$7:$B$26,Roster!$B19,Roster!CB$7:CB$26,"?*")&gt;Setup!$B$5,COUNTIF(Roster!CB$7:CB$26,"?*")&gt;Setup!$B$6),"CLASH","OK"))</f>
        <v/>
      </c>
      <c r="CC19" s="34" t="str">
        <f aca="false">IF(OR(Roster!$A19="",Roster!CC19=""),"",IF(OR(COUNTIFS(Roster!$B$7:$B$26,Roster!$B19,Roster!CC$7:CC$26,"?*")&gt;Setup!$B$5,COUNTIF(Roster!CC$7:CC$26,"?*")&gt;Setup!$B$6),"CLASH","OK"))</f>
        <v/>
      </c>
      <c r="CD19" s="34" t="str">
        <f aca="false">IF(OR(Roster!$A19="",Roster!CD19=""),"",IF(OR(COUNTIFS(Roster!$B$7:$B$26,Roster!$B19,Roster!CD$7:CD$26,"?*")&gt;Setup!$B$5,COUNTIF(Roster!CD$7:CD$26,"?*")&gt;Setup!$B$6),"CLASH","OK"))</f>
        <v/>
      </c>
      <c r="CE19" s="34" t="str">
        <f aca="false">IF(OR(Roster!$A19="",Roster!CE19=""),"",IF(OR(COUNTIFS(Roster!$B$7:$B$26,Roster!$B19,Roster!CE$7:CE$26,"?*")&gt;Setup!$B$5,COUNTIF(Roster!CE$7:CE$26,"?*")&gt;Setup!$B$6),"CLASH","OK"))</f>
        <v/>
      </c>
      <c r="CF19" s="34" t="str">
        <f aca="false">IF(OR(Roster!$A19="",Roster!CF19=""),"",IF(OR(COUNTIFS(Roster!$B$7:$B$26,Roster!$B19,Roster!CF$7:CF$26,"?*")&gt;Setup!$B$5,COUNTIF(Roster!CF$7:CF$26,"?*")&gt;Setup!$B$6),"CLASH","OK"))</f>
        <v/>
      </c>
      <c r="CG19" s="34" t="str">
        <f aca="false">IF(OR(Roster!$A19="",Roster!CG19=""),"",IF(OR(COUNTIFS(Roster!$B$7:$B$26,Roster!$B19,Roster!CG$7:CG$26,"?*")&gt;Setup!$B$5,COUNTIF(Roster!CG$7:CG$26,"?*")&gt;Setup!$B$6),"CLASH","OK"))</f>
        <v/>
      </c>
      <c r="CH19" s="34" t="str">
        <f aca="false">IF(OR(Roster!$A19="",Roster!CH19=""),"",IF(OR(COUNTIFS(Roster!$B$7:$B$26,Roster!$B19,Roster!CH$7:CH$26,"?*")&gt;Setup!$B$5,COUNTIF(Roster!CH$7:CH$26,"?*")&gt;Setup!$B$6),"CLASH","OK"))</f>
        <v/>
      </c>
      <c r="CI19" s="34" t="str">
        <f aca="false">IF(OR(Roster!$A19="",Roster!CI19=""),"",IF(OR(COUNTIFS(Roster!$B$7:$B$26,Roster!$B19,Roster!CI$7:CI$26,"?*")&gt;Setup!$B$5,COUNTIF(Roster!CI$7:CI$26,"?*")&gt;Setup!$B$6),"CLASH","OK"))</f>
        <v/>
      </c>
      <c r="CJ19" s="34" t="str">
        <f aca="false">IF(OR(Roster!$A19="",Roster!CJ19=""),"",IF(OR(COUNTIFS(Roster!$B$7:$B$26,Roster!$B19,Roster!CJ$7:CJ$26,"?*")&gt;Setup!$B$5,COUNTIF(Roster!CJ$7:CJ$26,"?*")&gt;Setup!$B$6),"CLASH","OK"))</f>
        <v/>
      </c>
      <c r="CK19" s="34" t="str">
        <f aca="false">IF(OR(Roster!$A19="",Roster!CK19=""),"",IF(OR(COUNTIFS(Roster!$B$7:$B$26,Roster!$B19,Roster!CK$7:CK$26,"?*")&gt;Setup!$B$5,COUNTIF(Roster!CK$7:CK$26,"?*")&gt;Setup!$B$6),"CLASH","OK"))</f>
        <v/>
      </c>
      <c r="CL19" s="34" t="str">
        <f aca="false">IF(OR(Roster!$A19="",Roster!CL19=""),"",IF(OR(COUNTIFS(Roster!$B$7:$B$26,Roster!$B19,Roster!CL$7:CL$26,"?*")&gt;Setup!$B$5,COUNTIF(Roster!CL$7:CL$26,"?*")&gt;Setup!$B$6),"CLASH","OK"))</f>
        <v/>
      </c>
      <c r="CM19" s="34" t="str">
        <f aca="false">IF(OR(Roster!$A19="",Roster!CM19=""),"",IF(OR(COUNTIFS(Roster!$B$7:$B$26,Roster!$B19,Roster!CM$7:CM$26,"?*")&gt;Setup!$B$5,COUNTIF(Roster!CM$7:CM$26,"?*")&gt;Setup!$B$6),"CLASH","OK"))</f>
        <v/>
      </c>
      <c r="CN19" s="34" t="str">
        <f aca="false">IF(OR(Roster!$A19="",Roster!CN19=""),"",IF(OR(COUNTIFS(Roster!$B$7:$B$26,Roster!$B19,Roster!CN$7:CN$26,"?*")&gt;Setup!$B$5,COUNTIF(Roster!CN$7:CN$26,"?*")&gt;Setup!$B$6),"CLASH","OK"))</f>
        <v/>
      </c>
      <c r="CO19" s="34" t="str">
        <f aca="false">IF(OR(Roster!$A19="",Roster!CO19=""),"",IF(OR(COUNTIFS(Roster!$B$7:$B$26,Roster!$B19,Roster!CO$7:CO$26,"?*")&gt;Setup!$B$5,COUNTIF(Roster!CO$7:CO$26,"?*")&gt;Setup!$B$6),"CLASH","OK"))</f>
        <v/>
      </c>
      <c r="CP19" s="34" t="str">
        <f aca="false">IF(OR(Roster!$A19="",Roster!CP19=""),"",IF(OR(COUNTIFS(Roster!$B$7:$B$26,Roster!$B19,Roster!CP$7:CP$26,"?*")&gt;Setup!$B$5,COUNTIF(Roster!CP$7:CP$26,"?*")&gt;Setup!$B$6),"CLASH","OK"))</f>
        <v/>
      </c>
      <c r="CQ19" s="34" t="str">
        <f aca="false">IF(OR(Roster!$A19="",Roster!CQ19=""),"",IF(OR(COUNTIFS(Roster!$B$7:$B$26,Roster!$B19,Roster!CQ$7:CQ$26,"?*")&gt;Setup!$B$5,COUNTIF(Roster!CQ$7:CQ$26,"?*")&gt;Setup!$B$6),"CLASH","OK"))</f>
        <v/>
      </c>
      <c r="CR19" s="34" t="str">
        <f aca="false">IF(OR(Roster!$A19="",Roster!CR19=""),"",IF(OR(COUNTIFS(Roster!$B$7:$B$26,Roster!$B19,Roster!CR$7:CR$26,"?*")&gt;Setup!$B$5,COUNTIF(Roster!CR$7:CR$26,"?*")&gt;Setup!$B$6),"CLASH","OK"))</f>
        <v/>
      </c>
      <c r="CS19" s="34" t="str">
        <f aca="false">IF(OR(Roster!$A19="",Roster!CS19=""),"",IF(OR(COUNTIFS(Roster!$B$7:$B$26,Roster!$B19,Roster!CS$7:CS$26,"?*")&gt;Setup!$B$5,COUNTIF(Roster!CS$7:CS$26,"?*")&gt;Setup!$B$6),"CLASH","OK"))</f>
        <v/>
      </c>
      <c r="CT19" s="34" t="str">
        <f aca="false">IF(OR(Roster!$A19="",Roster!CT19=""),"",IF(OR(COUNTIFS(Roster!$B$7:$B$26,Roster!$B19,Roster!CT$7:CT$26,"?*")&gt;Setup!$B$5,COUNTIF(Roster!CT$7:CT$26,"?*")&gt;Setup!$B$6),"CLASH","OK"))</f>
        <v/>
      </c>
      <c r="CU19" s="34" t="str">
        <f aca="false">IF(OR(Roster!$A19="",Roster!CU19=""),"",IF(OR(COUNTIFS(Roster!$B$7:$B$26,Roster!$B19,Roster!CU$7:CU$26,"?*")&gt;Setup!$B$5,COUNTIF(Roster!CU$7:CU$26,"?*")&gt;Setup!$B$6),"CLASH","OK"))</f>
        <v/>
      </c>
    </row>
    <row r="20" customFormat="false" ht="15" hidden="false" customHeight="false" outlineLevel="0" collapsed="false">
      <c r="A20" s="33" t="str">
        <f aca="false">IF(Roster!A20="","",Roster!A20)</f>
        <v/>
      </c>
      <c r="B20" s="33" t="str">
        <f aca="false">IF(Roster!A20="","",Roster!B20)</f>
        <v/>
      </c>
      <c r="H20" s="34" t="str">
        <f aca="false">IF(OR(Roster!$A20="",Roster!H20=""),"",IF(OR(COUNTIFS(Roster!$B$7:$B$26,Roster!$B20,Roster!H$7:H$26,"?*")&gt;Setup!$B$5,COUNTIF(Roster!H$7:H$26,"?*")&gt;Setup!$B$6),"CLASH","OK"))</f>
        <v/>
      </c>
      <c r="I20" s="34" t="str">
        <f aca="false">IF(OR(Roster!$A20="",Roster!I20=""),"",IF(OR(COUNTIFS(Roster!$B$7:$B$26,Roster!$B20,Roster!I$7:I$26,"?*")&gt;Setup!$B$5,COUNTIF(Roster!I$7:I$26,"?*")&gt;Setup!$B$6),"CLASH","OK"))</f>
        <v/>
      </c>
      <c r="J20" s="34" t="str">
        <f aca="false">IF(OR(Roster!$A20="",Roster!J20=""),"",IF(OR(COUNTIFS(Roster!$B$7:$B$26,Roster!$B20,Roster!J$7:J$26,"?*")&gt;Setup!$B$5,COUNTIF(Roster!J$7:J$26,"?*")&gt;Setup!$B$6),"CLASH","OK"))</f>
        <v/>
      </c>
      <c r="K20" s="34" t="str">
        <f aca="false">IF(OR(Roster!$A20="",Roster!K20=""),"",IF(OR(COUNTIFS(Roster!$B$7:$B$26,Roster!$B20,Roster!K$7:K$26,"?*")&gt;Setup!$B$5,COUNTIF(Roster!K$7:K$26,"?*")&gt;Setup!$B$6),"CLASH","OK"))</f>
        <v/>
      </c>
      <c r="L20" s="34" t="str">
        <f aca="false">IF(OR(Roster!$A20="",Roster!L20=""),"",IF(OR(COUNTIFS(Roster!$B$7:$B$26,Roster!$B20,Roster!L$7:L$26,"?*")&gt;Setup!$B$5,COUNTIF(Roster!L$7:L$26,"?*")&gt;Setup!$B$6),"CLASH","OK"))</f>
        <v/>
      </c>
      <c r="M20" s="34" t="str">
        <f aca="false">IF(OR(Roster!$A20="",Roster!M20=""),"",IF(OR(COUNTIFS(Roster!$B$7:$B$26,Roster!$B20,Roster!M$7:M$26,"?*")&gt;Setup!$B$5,COUNTIF(Roster!M$7:M$26,"?*")&gt;Setup!$B$6),"CLASH","OK"))</f>
        <v/>
      </c>
      <c r="N20" s="34" t="str">
        <f aca="false">IF(OR(Roster!$A20="",Roster!N20=""),"",IF(OR(COUNTIFS(Roster!$B$7:$B$26,Roster!$B20,Roster!N$7:N$26,"?*")&gt;Setup!$B$5,COUNTIF(Roster!N$7:N$26,"?*")&gt;Setup!$B$6),"CLASH","OK"))</f>
        <v/>
      </c>
      <c r="O20" s="34" t="str">
        <f aca="false">IF(OR(Roster!$A20="",Roster!O20=""),"",IF(OR(COUNTIFS(Roster!$B$7:$B$26,Roster!$B20,Roster!O$7:O$26,"?*")&gt;Setup!$B$5,COUNTIF(Roster!O$7:O$26,"?*")&gt;Setup!$B$6),"CLASH","OK"))</f>
        <v/>
      </c>
      <c r="P20" s="34" t="str">
        <f aca="false">IF(OR(Roster!$A20="",Roster!P20=""),"",IF(OR(COUNTIFS(Roster!$B$7:$B$26,Roster!$B20,Roster!P$7:P$26,"?*")&gt;Setup!$B$5,COUNTIF(Roster!P$7:P$26,"?*")&gt;Setup!$B$6),"CLASH","OK"))</f>
        <v/>
      </c>
      <c r="Q20" s="34" t="str">
        <f aca="false">IF(OR(Roster!$A20="",Roster!Q20=""),"",IF(OR(COUNTIFS(Roster!$B$7:$B$26,Roster!$B20,Roster!Q$7:Q$26,"?*")&gt;Setup!$B$5,COUNTIF(Roster!Q$7:Q$26,"?*")&gt;Setup!$B$6),"CLASH","OK"))</f>
        <v/>
      </c>
      <c r="R20" s="34" t="str">
        <f aca="false">IF(OR(Roster!$A20="",Roster!R20=""),"",IF(OR(COUNTIFS(Roster!$B$7:$B$26,Roster!$B20,Roster!R$7:R$26,"?*")&gt;Setup!$B$5,COUNTIF(Roster!R$7:R$26,"?*")&gt;Setup!$B$6),"CLASH","OK"))</f>
        <v/>
      </c>
      <c r="S20" s="34" t="str">
        <f aca="false">IF(OR(Roster!$A20="",Roster!S20=""),"",IF(OR(COUNTIFS(Roster!$B$7:$B$26,Roster!$B20,Roster!S$7:S$26,"?*")&gt;Setup!$B$5,COUNTIF(Roster!S$7:S$26,"?*")&gt;Setup!$B$6),"CLASH","OK"))</f>
        <v/>
      </c>
      <c r="T20" s="34" t="str">
        <f aca="false">IF(OR(Roster!$A20="",Roster!T20=""),"",IF(OR(COUNTIFS(Roster!$B$7:$B$26,Roster!$B20,Roster!T$7:T$26,"?*")&gt;Setup!$B$5,COUNTIF(Roster!T$7:T$26,"?*")&gt;Setup!$B$6),"CLASH","OK"))</f>
        <v/>
      </c>
      <c r="U20" s="34" t="str">
        <f aca="false">IF(OR(Roster!$A20="",Roster!U20=""),"",IF(OR(COUNTIFS(Roster!$B$7:$B$26,Roster!$B20,Roster!U$7:U$26,"?*")&gt;Setup!$B$5,COUNTIF(Roster!U$7:U$26,"?*")&gt;Setup!$B$6),"CLASH","OK"))</f>
        <v/>
      </c>
      <c r="V20" s="34" t="str">
        <f aca="false">IF(OR(Roster!$A20="",Roster!V20=""),"",IF(OR(COUNTIFS(Roster!$B$7:$B$26,Roster!$B20,Roster!V$7:V$26,"?*")&gt;Setup!$B$5,COUNTIF(Roster!V$7:V$26,"?*")&gt;Setup!$B$6),"CLASH","OK"))</f>
        <v/>
      </c>
      <c r="W20" s="34" t="str">
        <f aca="false">IF(OR(Roster!$A20="",Roster!W20=""),"",IF(OR(COUNTIFS(Roster!$B$7:$B$26,Roster!$B20,Roster!W$7:W$26,"?*")&gt;Setup!$B$5,COUNTIF(Roster!W$7:W$26,"?*")&gt;Setup!$B$6),"CLASH","OK"))</f>
        <v/>
      </c>
      <c r="X20" s="34" t="str">
        <f aca="false">IF(OR(Roster!$A20="",Roster!X20=""),"",IF(OR(COUNTIFS(Roster!$B$7:$B$26,Roster!$B20,Roster!X$7:X$26,"?*")&gt;Setup!$B$5,COUNTIF(Roster!X$7:X$26,"?*")&gt;Setup!$B$6),"CLASH","OK"))</f>
        <v/>
      </c>
      <c r="Y20" s="34" t="str">
        <f aca="false">IF(OR(Roster!$A20="",Roster!Y20=""),"",IF(OR(COUNTIFS(Roster!$B$7:$B$26,Roster!$B20,Roster!Y$7:Y$26,"?*")&gt;Setup!$B$5,COUNTIF(Roster!Y$7:Y$26,"?*")&gt;Setup!$B$6),"CLASH","OK"))</f>
        <v/>
      </c>
      <c r="Z20" s="34" t="str">
        <f aca="false">IF(OR(Roster!$A20="",Roster!Z20=""),"",IF(OR(COUNTIFS(Roster!$B$7:$B$26,Roster!$B20,Roster!Z$7:Z$26,"?*")&gt;Setup!$B$5,COUNTIF(Roster!Z$7:Z$26,"?*")&gt;Setup!$B$6),"CLASH","OK"))</f>
        <v/>
      </c>
      <c r="AA20" s="34" t="str">
        <f aca="false">IF(OR(Roster!$A20="",Roster!AA20=""),"",IF(OR(COUNTIFS(Roster!$B$7:$B$26,Roster!$B20,Roster!AA$7:AA$26,"?*")&gt;Setup!$B$5,COUNTIF(Roster!AA$7:AA$26,"?*")&gt;Setup!$B$6),"CLASH","OK"))</f>
        <v/>
      </c>
      <c r="AB20" s="34" t="str">
        <f aca="false">IF(OR(Roster!$A20="",Roster!AB20=""),"",IF(OR(COUNTIFS(Roster!$B$7:$B$26,Roster!$B20,Roster!AB$7:AB$26,"?*")&gt;Setup!$B$5,COUNTIF(Roster!AB$7:AB$26,"?*")&gt;Setup!$B$6),"CLASH","OK"))</f>
        <v/>
      </c>
      <c r="AC20" s="34" t="str">
        <f aca="false">IF(OR(Roster!$A20="",Roster!AC20=""),"",IF(OR(COUNTIFS(Roster!$B$7:$B$26,Roster!$B20,Roster!AC$7:AC$26,"?*")&gt;Setup!$B$5,COUNTIF(Roster!AC$7:AC$26,"?*")&gt;Setup!$B$6),"CLASH","OK"))</f>
        <v/>
      </c>
      <c r="AD20" s="34" t="str">
        <f aca="false">IF(OR(Roster!$A20="",Roster!AD20=""),"",IF(OR(COUNTIFS(Roster!$B$7:$B$26,Roster!$B20,Roster!AD$7:AD$26,"?*")&gt;Setup!$B$5,COUNTIF(Roster!AD$7:AD$26,"?*")&gt;Setup!$B$6),"CLASH","OK"))</f>
        <v/>
      </c>
      <c r="AE20" s="34" t="str">
        <f aca="false">IF(OR(Roster!$A20="",Roster!AE20=""),"",IF(OR(COUNTIFS(Roster!$B$7:$B$26,Roster!$B20,Roster!AE$7:AE$26,"?*")&gt;Setup!$B$5,COUNTIF(Roster!AE$7:AE$26,"?*")&gt;Setup!$B$6),"CLASH","OK"))</f>
        <v/>
      </c>
      <c r="AF20" s="34" t="str">
        <f aca="false">IF(OR(Roster!$A20="",Roster!AF20=""),"",IF(OR(COUNTIFS(Roster!$B$7:$B$26,Roster!$B20,Roster!AF$7:AF$26,"?*")&gt;Setup!$B$5,COUNTIF(Roster!AF$7:AF$26,"?*")&gt;Setup!$B$6),"CLASH","OK"))</f>
        <v/>
      </c>
      <c r="AG20" s="34" t="str">
        <f aca="false">IF(OR(Roster!$A20="",Roster!AG20=""),"",IF(OR(COUNTIFS(Roster!$B$7:$B$26,Roster!$B20,Roster!AG$7:AG$26,"?*")&gt;Setup!$B$5,COUNTIF(Roster!AG$7:AG$26,"?*")&gt;Setup!$B$6),"CLASH","OK"))</f>
        <v/>
      </c>
      <c r="AH20" s="34" t="str">
        <f aca="false">IF(OR(Roster!$A20="",Roster!AH20=""),"",IF(OR(COUNTIFS(Roster!$B$7:$B$26,Roster!$B20,Roster!AH$7:AH$26,"?*")&gt;Setup!$B$5,COUNTIF(Roster!AH$7:AH$26,"?*")&gt;Setup!$B$6),"CLASH","OK"))</f>
        <v/>
      </c>
      <c r="AI20" s="34" t="str">
        <f aca="false">IF(OR(Roster!$A20="",Roster!AI20=""),"",IF(OR(COUNTIFS(Roster!$B$7:$B$26,Roster!$B20,Roster!AI$7:AI$26,"?*")&gt;Setup!$B$5,COUNTIF(Roster!AI$7:AI$26,"?*")&gt;Setup!$B$6),"CLASH","OK"))</f>
        <v/>
      </c>
      <c r="AJ20" s="34" t="str">
        <f aca="false">IF(OR(Roster!$A20="",Roster!AJ20=""),"",IF(OR(COUNTIFS(Roster!$B$7:$B$26,Roster!$B20,Roster!AJ$7:AJ$26,"?*")&gt;Setup!$B$5,COUNTIF(Roster!AJ$7:AJ$26,"?*")&gt;Setup!$B$6),"CLASH","OK"))</f>
        <v/>
      </c>
      <c r="AK20" s="34" t="str">
        <f aca="false">IF(OR(Roster!$A20="",Roster!AK20=""),"",IF(OR(COUNTIFS(Roster!$B$7:$B$26,Roster!$B20,Roster!AK$7:AK$26,"?*")&gt;Setup!$B$5,COUNTIF(Roster!AK$7:AK$26,"?*")&gt;Setup!$B$6),"CLASH","OK"))</f>
        <v/>
      </c>
      <c r="AL20" s="34" t="str">
        <f aca="false">IF(OR(Roster!$A20="",Roster!AL20=""),"",IF(OR(COUNTIFS(Roster!$B$7:$B$26,Roster!$B20,Roster!AL$7:AL$26,"?*")&gt;Setup!$B$5,COUNTIF(Roster!AL$7:AL$26,"?*")&gt;Setup!$B$6),"CLASH","OK"))</f>
        <v/>
      </c>
      <c r="AM20" s="34" t="str">
        <f aca="false">IF(OR(Roster!$A20="",Roster!AM20=""),"",IF(OR(COUNTIFS(Roster!$B$7:$B$26,Roster!$B20,Roster!AM$7:AM$26,"?*")&gt;Setup!$B$5,COUNTIF(Roster!AM$7:AM$26,"?*")&gt;Setup!$B$6),"CLASH","OK"))</f>
        <v/>
      </c>
      <c r="AN20" s="34" t="str">
        <f aca="false">IF(OR(Roster!$A20="",Roster!AN20=""),"",IF(OR(COUNTIFS(Roster!$B$7:$B$26,Roster!$B20,Roster!AN$7:AN$26,"?*")&gt;Setup!$B$5,COUNTIF(Roster!AN$7:AN$26,"?*")&gt;Setup!$B$6),"CLASH","OK"))</f>
        <v/>
      </c>
      <c r="AO20" s="34" t="str">
        <f aca="false">IF(OR(Roster!$A20="",Roster!AO20=""),"",IF(OR(COUNTIFS(Roster!$B$7:$B$26,Roster!$B20,Roster!AO$7:AO$26,"?*")&gt;Setup!$B$5,COUNTIF(Roster!AO$7:AO$26,"?*")&gt;Setup!$B$6),"CLASH","OK"))</f>
        <v/>
      </c>
      <c r="AP20" s="34" t="str">
        <f aca="false">IF(OR(Roster!$A20="",Roster!AP20=""),"",IF(OR(COUNTIFS(Roster!$B$7:$B$26,Roster!$B20,Roster!AP$7:AP$26,"?*")&gt;Setup!$B$5,COUNTIF(Roster!AP$7:AP$26,"?*")&gt;Setup!$B$6),"CLASH","OK"))</f>
        <v/>
      </c>
      <c r="AQ20" s="34" t="str">
        <f aca="false">IF(OR(Roster!$A20="",Roster!AQ20=""),"",IF(OR(COUNTIFS(Roster!$B$7:$B$26,Roster!$B20,Roster!AQ$7:AQ$26,"?*")&gt;Setup!$B$5,COUNTIF(Roster!AQ$7:AQ$26,"?*")&gt;Setup!$B$6),"CLASH","OK"))</f>
        <v/>
      </c>
      <c r="AR20" s="34" t="str">
        <f aca="false">IF(OR(Roster!$A20="",Roster!AR20=""),"",IF(OR(COUNTIFS(Roster!$B$7:$B$26,Roster!$B20,Roster!AR$7:AR$26,"?*")&gt;Setup!$B$5,COUNTIF(Roster!AR$7:AR$26,"?*")&gt;Setup!$B$6),"CLASH","OK"))</f>
        <v/>
      </c>
      <c r="AS20" s="34" t="str">
        <f aca="false">IF(OR(Roster!$A20="",Roster!AS20=""),"",IF(OR(COUNTIFS(Roster!$B$7:$B$26,Roster!$B20,Roster!AS$7:AS$26,"?*")&gt;Setup!$B$5,COUNTIF(Roster!AS$7:AS$26,"?*")&gt;Setup!$B$6),"CLASH","OK"))</f>
        <v/>
      </c>
      <c r="AT20" s="34" t="str">
        <f aca="false">IF(OR(Roster!$A20="",Roster!AT20=""),"",IF(OR(COUNTIFS(Roster!$B$7:$B$26,Roster!$B20,Roster!AT$7:AT$26,"?*")&gt;Setup!$B$5,COUNTIF(Roster!AT$7:AT$26,"?*")&gt;Setup!$B$6),"CLASH","OK"))</f>
        <v/>
      </c>
      <c r="AU20" s="34" t="str">
        <f aca="false">IF(OR(Roster!$A20="",Roster!AU20=""),"",IF(OR(COUNTIFS(Roster!$B$7:$B$26,Roster!$B20,Roster!AU$7:AU$26,"?*")&gt;Setup!$B$5,COUNTIF(Roster!AU$7:AU$26,"?*")&gt;Setup!$B$6),"CLASH","OK"))</f>
        <v/>
      </c>
      <c r="AV20" s="34" t="str">
        <f aca="false">IF(OR(Roster!$A20="",Roster!AV20=""),"",IF(OR(COUNTIFS(Roster!$B$7:$B$26,Roster!$B20,Roster!AV$7:AV$26,"?*")&gt;Setup!$B$5,COUNTIF(Roster!AV$7:AV$26,"?*")&gt;Setup!$B$6),"CLASH","OK"))</f>
        <v/>
      </c>
      <c r="AW20" s="34" t="str">
        <f aca="false">IF(OR(Roster!$A20="",Roster!AW20=""),"",IF(OR(COUNTIFS(Roster!$B$7:$B$26,Roster!$B20,Roster!AW$7:AW$26,"?*")&gt;Setup!$B$5,COUNTIF(Roster!AW$7:AW$26,"?*")&gt;Setup!$B$6),"CLASH","OK"))</f>
        <v/>
      </c>
      <c r="AX20" s="34" t="str">
        <f aca="false">IF(OR(Roster!$A20="",Roster!AX20=""),"",IF(OR(COUNTIFS(Roster!$B$7:$B$26,Roster!$B20,Roster!AX$7:AX$26,"?*")&gt;Setup!$B$5,COUNTIF(Roster!AX$7:AX$26,"?*")&gt;Setup!$B$6),"CLASH","OK"))</f>
        <v/>
      </c>
      <c r="AY20" s="34" t="str">
        <f aca="false">IF(OR(Roster!$A20="",Roster!AY20=""),"",IF(OR(COUNTIFS(Roster!$B$7:$B$26,Roster!$B20,Roster!AY$7:AY$26,"?*")&gt;Setup!$B$5,COUNTIF(Roster!AY$7:AY$26,"?*")&gt;Setup!$B$6),"CLASH","OK"))</f>
        <v/>
      </c>
      <c r="AZ20" s="34" t="str">
        <f aca="false">IF(OR(Roster!$A20="",Roster!AZ20=""),"",IF(OR(COUNTIFS(Roster!$B$7:$B$26,Roster!$B20,Roster!AZ$7:AZ$26,"?*")&gt;Setup!$B$5,COUNTIF(Roster!AZ$7:AZ$26,"?*")&gt;Setup!$B$6),"CLASH","OK"))</f>
        <v/>
      </c>
      <c r="BA20" s="34" t="str">
        <f aca="false">IF(OR(Roster!$A20="",Roster!BA20=""),"",IF(OR(COUNTIFS(Roster!$B$7:$B$26,Roster!$B20,Roster!BA$7:BA$26,"?*")&gt;Setup!$B$5,COUNTIF(Roster!BA$7:BA$26,"?*")&gt;Setup!$B$6),"CLASH","OK"))</f>
        <v/>
      </c>
      <c r="BB20" s="34" t="str">
        <f aca="false">IF(OR(Roster!$A20="",Roster!BB20=""),"",IF(OR(COUNTIFS(Roster!$B$7:$B$26,Roster!$B20,Roster!BB$7:BB$26,"?*")&gt;Setup!$B$5,COUNTIF(Roster!BB$7:BB$26,"?*")&gt;Setup!$B$6),"CLASH","OK"))</f>
        <v/>
      </c>
      <c r="BC20" s="34" t="str">
        <f aca="false">IF(OR(Roster!$A20="",Roster!BC20=""),"",IF(OR(COUNTIFS(Roster!$B$7:$B$26,Roster!$B20,Roster!BC$7:BC$26,"?*")&gt;Setup!$B$5,COUNTIF(Roster!BC$7:BC$26,"?*")&gt;Setup!$B$6),"CLASH","OK"))</f>
        <v/>
      </c>
      <c r="BD20" s="34" t="str">
        <f aca="false">IF(OR(Roster!$A20="",Roster!BD20=""),"",IF(OR(COUNTIFS(Roster!$B$7:$B$26,Roster!$B20,Roster!BD$7:BD$26,"?*")&gt;Setup!$B$5,COUNTIF(Roster!BD$7:BD$26,"?*")&gt;Setup!$B$6),"CLASH","OK"))</f>
        <v/>
      </c>
      <c r="BE20" s="34" t="str">
        <f aca="false">IF(OR(Roster!$A20="",Roster!BE20=""),"",IF(OR(COUNTIFS(Roster!$B$7:$B$26,Roster!$B20,Roster!BE$7:BE$26,"?*")&gt;Setup!$B$5,COUNTIF(Roster!BE$7:BE$26,"?*")&gt;Setup!$B$6),"CLASH","OK"))</f>
        <v/>
      </c>
      <c r="BF20" s="34" t="str">
        <f aca="false">IF(OR(Roster!$A20="",Roster!BF20=""),"",IF(OR(COUNTIFS(Roster!$B$7:$B$26,Roster!$B20,Roster!BF$7:BF$26,"?*")&gt;Setup!$B$5,COUNTIF(Roster!BF$7:BF$26,"?*")&gt;Setup!$B$6),"CLASH","OK"))</f>
        <v/>
      </c>
      <c r="BG20" s="34" t="str">
        <f aca="false">IF(OR(Roster!$A20="",Roster!BG20=""),"",IF(OR(COUNTIFS(Roster!$B$7:$B$26,Roster!$B20,Roster!BG$7:BG$26,"?*")&gt;Setup!$B$5,COUNTIF(Roster!BG$7:BG$26,"?*")&gt;Setup!$B$6),"CLASH","OK"))</f>
        <v/>
      </c>
      <c r="BH20" s="34" t="str">
        <f aca="false">IF(OR(Roster!$A20="",Roster!BH20=""),"",IF(OR(COUNTIFS(Roster!$B$7:$B$26,Roster!$B20,Roster!BH$7:BH$26,"?*")&gt;Setup!$B$5,COUNTIF(Roster!BH$7:BH$26,"?*")&gt;Setup!$B$6),"CLASH","OK"))</f>
        <v/>
      </c>
      <c r="BI20" s="34" t="str">
        <f aca="false">IF(OR(Roster!$A20="",Roster!BI20=""),"",IF(OR(COUNTIFS(Roster!$B$7:$B$26,Roster!$B20,Roster!BI$7:BI$26,"?*")&gt;Setup!$B$5,COUNTIF(Roster!BI$7:BI$26,"?*")&gt;Setup!$B$6),"CLASH","OK"))</f>
        <v/>
      </c>
      <c r="BJ20" s="34" t="str">
        <f aca="false">IF(OR(Roster!$A20="",Roster!BJ20=""),"",IF(OR(COUNTIFS(Roster!$B$7:$B$26,Roster!$B20,Roster!BJ$7:BJ$26,"?*")&gt;Setup!$B$5,COUNTIF(Roster!BJ$7:BJ$26,"?*")&gt;Setup!$B$6),"CLASH","OK"))</f>
        <v/>
      </c>
      <c r="BK20" s="34" t="str">
        <f aca="false">IF(OR(Roster!$A20="",Roster!BK20=""),"",IF(OR(COUNTIFS(Roster!$B$7:$B$26,Roster!$B20,Roster!BK$7:BK$26,"?*")&gt;Setup!$B$5,COUNTIF(Roster!BK$7:BK$26,"?*")&gt;Setup!$B$6),"CLASH","OK"))</f>
        <v/>
      </c>
      <c r="BL20" s="34" t="str">
        <f aca="false">IF(OR(Roster!$A20="",Roster!BL20=""),"",IF(OR(COUNTIFS(Roster!$B$7:$B$26,Roster!$B20,Roster!BL$7:BL$26,"?*")&gt;Setup!$B$5,COUNTIF(Roster!BL$7:BL$26,"?*")&gt;Setup!$B$6),"CLASH","OK"))</f>
        <v/>
      </c>
      <c r="BM20" s="34" t="str">
        <f aca="false">IF(OR(Roster!$A20="",Roster!BM20=""),"",IF(OR(COUNTIFS(Roster!$B$7:$B$26,Roster!$B20,Roster!BM$7:BM$26,"?*")&gt;Setup!$B$5,COUNTIF(Roster!BM$7:BM$26,"?*")&gt;Setup!$B$6),"CLASH","OK"))</f>
        <v/>
      </c>
      <c r="BN20" s="34" t="str">
        <f aca="false">IF(OR(Roster!$A20="",Roster!BN20=""),"",IF(OR(COUNTIFS(Roster!$B$7:$B$26,Roster!$B20,Roster!BN$7:BN$26,"?*")&gt;Setup!$B$5,COUNTIF(Roster!BN$7:BN$26,"?*")&gt;Setup!$B$6),"CLASH","OK"))</f>
        <v/>
      </c>
      <c r="BO20" s="34" t="str">
        <f aca="false">IF(OR(Roster!$A20="",Roster!BO20=""),"",IF(OR(COUNTIFS(Roster!$B$7:$B$26,Roster!$B20,Roster!BO$7:BO$26,"?*")&gt;Setup!$B$5,COUNTIF(Roster!BO$7:BO$26,"?*")&gt;Setup!$B$6),"CLASH","OK"))</f>
        <v/>
      </c>
      <c r="BP20" s="34" t="str">
        <f aca="false">IF(OR(Roster!$A20="",Roster!BP20=""),"",IF(OR(COUNTIFS(Roster!$B$7:$B$26,Roster!$B20,Roster!BP$7:BP$26,"?*")&gt;Setup!$B$5,COUNTIF(Roster!BP$7:BP$26,"?*")&gt;Setup!$B$6),"CLASH","OK"))</f>
        <v/>
      </c>
      <c r="BQ20" s="34" t="str">
        <f aca="false">IF(OR(Roster!$A20="",Roster!BQ20=""),"",IF(OR(COUNTIFS(Roster!$B$7:$B$26,Roster!$B20,Roster!BQ$7:BQ$26,"?*")&gt;Setup!$B$5,COUNTIF(Roster!BQ$7:BQ$26,"?*")&gt;Setup!$B$6),"CLASH","OK"))</f>
        <v/>
      </c>
      <c r="BR20" s="34" t="str">
        <f aca="false">IF(OR(Roster!$A20="",Roster!BR20=""),"",IF(OR(COUNTIFS(Roster!$B$7:$B$26,Roster!$B20,Roster!BR$7:BR$26,"?*")&gt;Setup!$B$5,COUNTIF(Roster!BR$7:BR$26,"?*")&gt;Setup!$B$6),"CLASH","OK"))</f>
        <v/>
      </c>
      <c r="BS20" s="34" t="str">
        <f aca="false">IF(OR(Roster!$A20="",Roster!BS20=""),"",IF(OR(COUNTIFS(Roster!$B$7:$B$26,Roster!$B20,Roster!BS$7:BS$26,"?*")&gt;Setup!$B$5,COUNTIF(Roster!BS$7:BS$26,"?*")&gt;Setup!$B$6),"CLASH","OK"))</f>
        <v/>
      </c>
      <c r="BT20" s="34" t="str">
        <f aca="false">IF(OR(Roster!$A20="",Roster!BT20=""),"",IF(OR(COUNTIFS(Roster!$B$7:$B$26,Roster!$B20,Roster!BT$7:BT$26,"?*")&gt;Setup!$B$5,COUNTIF(Roster!BT$7:BT$26,"?*")&gt;Setup!$B$6),"CLASH","OK"))</f>
        <v/>
      </c>
      <c r="BU20" s="34" t="str">
        <f aca="false">IF(OR(Roster!$A20="",Roster!BU20=""),"",IF(OR(COUNTIFS(Roster!$B$7:$B$26,Roster!$B20,Roster!BU$7:BU$26,"?*")&gt;Setup!$B$5,COUNTIF(Roster!BU$7:BU$26,"?*")&gt;Setup!$B$6),"CLASH","OK"))</f>
        <v/>
      </c>
      <c r="BV20" s="34" t="str">
        <f aca="false">IF(OR(Roster!$A20="",Roster!BV20=""),"",IF(OR(COUNTIFS(Roster!$B$7:$B$26,Roster!$B20,Roster!BV$7:BV$26,"?*")&gt;Setup!$B$5,COUNTIF(Roster!BV$7:BV$26,"?*")&gt;Setup!$B$6),"CLASH","OK"))</f>
        <v/>
      </c>
      <c r="BW20" s="34" t="str">
        <f aca="false">IF(OR(Roster!$A20="",Roster!BW20=""),"",IF(OR(COUNTIFS(Roster!$B$7:$B$26,Roster!$B20,Roster!BW$7:BW$26,"?*")&gt;Setup!$B$5,COUNTIF(Roster!BW$7:BW$26,"?*")&gt;Setup!$B$6),"CLASH","OK"))</f>
        <v/>
      </c>
      <c r="BX20" s="34" t="str">
        <f aca="false">IF(OR(Roster!$A20="",Roster!BX20=""),"",IF(OR(COUNTIFS(Roster!$B$7:$B$26,Roster!$B20,Roster!BX$7:BX$26,"?*")&gt;Setup!$B$5,COUNTIF(Roster!BX$7:BX$26,"?*")&gt;Setup!$B$6),"CLASH","OK"))</f>
        <v/>
      </c>
      <c r="BY20" s="34" t="str">
        <f aca="false">IF(OR(Roster!$A20="",Roster!BY20=""),"",IF(OR(COUNTIFS(Roster!$B$7:$B$26,Roster!$B20,Roster!BY$7:BY$26,"?*")&gt;Setup!$B$5,COUNTIF(Roster!BY$7:BY$26,"?*")&gt;Setup!$B$6),"CLASH","OK"))</f>
        <v/>
      </c>
      <c r="BZ20" s="34" t="str">
        <f aca="false">IF(OR(Roster!$A20="",Roster!BZ20=""),"",IF(OR(COUNTIFS(Roster!$B$7:$B$26,Roster!$B20,Roster!BZ$7:BZ$26,"?*")&gt;Setup!$B$5,COUNTIF(Roster!BZ$7:BZ$26,"?*")&gt;Setup!$B$6),"CLASH","OK"))</f>
        <v/>
      </c>
      <c r="CA20" s="34" t="str">
        <f aca="false">IF(OR(Roster!$A20="",Roster!CA20=""),"",IF(OR(COUNTIFS(Roster!$B$7:$B$26,Roster!$B20,Roster!CA$7:CA$26,"?*")&gt;Setup!$B$5,COUNTIF(Roster!CA$7:CA$26,"?*")&gt;Setup!$B$6),"CLASH","OK"))</f>
        <v/>
      </c>
      <c r="CB20" s="34" t="str">
        <f aca="false">IF(OR(Roster!$A20="",Roster!CB20=""),"",IF(OR(COUNTIFS(Roster!$B$7:$B$26,Roster!$B20,Roster!CB$7:CB$26,"?*")&gt;Setup!$B$5,COUNTIF(Roster!CB$7:CB$26,"?*")&gt;Setup!$B$6),"CLASH","OK"))</f>
        <v/>
      </c>
      <c r="CC20" s="34" t="str">
        <f aca="false">IF(OR(Roster!$A20="",Roster!CC20=""),"",IF(OR(COUNTIFS(Roster!$B$7:$B$26,Roster!$B20,Roster!CC$7:CC$26,"?*")&gt;Setup!$B$5,COUNTIF(Roster!CC$7:CC$26,"?*")&gt;Setup!$B$6),"CLASH","OK"))</f>
        <v/>
      </c>
      <c r="CD20" s="34" t="str">
        <f aca="false">IF(OR(Roster!$A20="",Roster!CD20=""),"",IF(OR(COUNTIFS(Roster!$B$7:$B$26,Roster!$B20,Roster!CD$7:CD$26,"?*")&gt;Setup!$B$5,COUNTIF(Roster!CD$7:CD$26,"?*")&gt;Setup!$B$6),"CLASH","OK"))</f>
        <v/>
      </c>
      <c r="CE20" s="34" t="str">
        <f aca="false">IF(OR(Roster!$A20="",Roster!CE20=""),"",IF(OR(COUNTIFS(Roster!$B$7:$B$26,Roster!$B20,Roster!CE$7:CE$26,"?*")&gt;Setup!$B$5,COUNTIF(Roster!CE$7:CE$26,"?*")&gt;Setup!$B$6),"CLASH","OK"))</f>
        <v/>
      </c>
      <c r="CF20" s="34" t="str">
        <f aca="false">IF(OR(Roster!$A20="",Roster!CF20=""),"",IF(OR(COUNTIFS(Roster!$B$7:$B$26,Roster!$B20,Roster!CF$7:CF$26,"?*")&gt;Setup!$B$5,COUNTIF(Roster!CF$7:CF$26,"?*")&gt;Setup!$B$6),"CLASH","OK"))</f>
        <v/>
      </c>
      <c r="CG20" s="34" t="str">
        <f aca="false">IF(OR(Roster!$A20="",Roster!CG20=""),"",IF(OR(COUNTIFS(Roster!$B$7:$B$26,Roster!$B20,Roster!CG$7:CG$26,"?*")&gt;Setup!$B$5,COUNTIF(Roster!CG$7:CG$26,"?*")&gt;Setup!$B$6),"CLASH","OK"))</f>
        <v/>
      </c>
      <c r="CH20" s="34" t="str">
        <f aca="false">IF(OR(Roster!$A20="",Roster!CH20=""),"",IF(OR(COUNTIFS(Roster!$B$7:$B$26,Roster!$B20,Roster!CH$7:CH$26,"?*")&gt;Setup!$B$5,COUNTIF(Roster!CH$7:CH$26,"?*")&gt;Setup!$B$6),"CLASH","OK"))</f>
        <v/>
      </c>
      <c r="CI20" s="34" t="str">
        <f aca="false">IF(OR(Roster!$A20="",Roster!CI20=""),"",IF(OR(COUNTIFS(Roster!$B$7:$B$26,Roster!$B20,Roster!CI$7:CI$26,"?*")&gt;Setup!$B$5,COUNTIF(Roster!CI$7:CI$26,"?*")&gt;Setup!$B$6),"CLASH","OK"))</f>
        <v/>
      </c>
      <c r="CJ20" s="34" t="str">
        <f aca="false">IF(OR(Roster!$A20="",Roster!CJ20=""),"",IF(OR(COUNTIFS(Roster!$B$7:$B$26,Roster!$B20,Roster!CJ$7:CJ$26,"?*")&gt;Setup!$B$5,COUNTIF(Roster!CJ$7:CJ$26,"?*")&gt;Setup!$B$6),"CLASH","OK"))</f>
        <v/>
      </c>
      <c r="CK20" s="34" t="str">
        <f aca="false">IF(OR(Roster!$A20="",Roster!CK20=""),"",IF(OR(COUNTIFS(Roster!$B$7:$B$26,Roster!$B20,Roster!CK$7:CK$26,"?*")&gt;Setup!$B$5,COUNTIF(Roster!CK$7:CK$26,"?*")&gt;Setup!$B$6),"CLASH","OK"))</f>
        <v/>
      </c>
      <c r="CL20" s="34" t="str">
        <f aca="false">IF(OR(Roster!$A20="",Roster!CL20=""),"",IF(OR(COUNTIFS(Roster!$B$7:$B$26,Roster!$B20,Roster!CL$7:CL$26,"?*")&gt;Setup!$B$5,COUNTIF(Roster!CL$7:CL$26,"?*")&gt;Setup!$B$6),"CLASH","OK"))</f>
        <v/>
      </c>
      <c r="CM20" s="34" t="str">
        <f aca="false">IF(OR(Roster!$A20="",Roster!CM20=""),"",IF(OR(COUNTIFS(Roster!$B$7:$B$26,Roster!$B20,Roster!CM$7:CM$26,"?*")&gt;Setup!$B$5,COUNTIF(Roster!CM$7:CM$26,"?*")&gt;Setup!$B$6),"CLASH","OK"))</f>
        <v/>
      </c>
      <c r="CN20" s="34" t="str">
        <f aca="false">IF(OR(Roster!$A20="",Roster!CN20=""),"",IF(OR(COUNTIFS(Roster!$B$7:$B$26,Roster!$B20,Roster!CN$7:CN$26,"?*")&gt;Setup!$B$5,COUNTIF(Roster!CN$7:CN$26,"?*")&gt;Setup!$B$6),"CLASH","OK"))</f>
        <v/>
      </c>
      <c r="CO20" s="34" t="str">
        <f aca="false">IF(OR(Roster!$A20="",Roster!CO20=""),"",IF(OR(COUNTIFS(Roster!$B$7:$B$26,Roster!$B20,Roster!CO$7:CO$26,"?*")&gt;Setup!$B$5,COUNTIF(Roster!CO$7:CO$26,"?*")&gt;Setup!$B$6),"CLASH","OK"))</f>
        <v/>
      </c>
      <c r="CP20" s="34" t="str">
        <f aca="false">IF(OR(Roster!$A20="",Roster!CP20=""),"",IF(OR(COUNTIFS(Roster!$B$7:$B$26,Roster!$B20,Roster!CP$7:CP$26,"?*")&gt;Setup!$B$5,COUNTIF(Roster!CP$7:CP$26,"?*")&gt;Setup!$B$6),"CLASH","OK"))</f>
        <v/>
      </c>
      <c r="CQ20" s="34" t="str">
        <f aca="false">IF(OR(Roster!$A20="",Roster!CQ20=""),"",IF(OR(COUNTIFS(Roster!$B$7:$B$26,Roster!$B20,Roster!CQ$7:CQ$26,"?*")&gt;Setup!$B$5,COUNTIF(Roster!CQ$7:CQ$26,"?*")&gt;Setup!$B$6),"CLASH","OK"))</f>
        <v/>
      </c>
      <c r="CR20" s="34" t="str">
        <f aca="false">IF(OR(Roster!$A20="",Roster!CR20=""),"",IF(OR(COUNTIFS(Roster!$B$7:$B$26,Roster!$B20,Roster!CR$7:CR$26,"?*")&gt;Setup!$B$5,COUNTIF(Roster!CR$7:CR$26,"?*")&gt;Setup!$B$6),"CLASH","OK"))</f>
        <v/>
      </c>
      <c r="CS20" s="34" t="str">
        <f aca="false">IF(OR(Roster!$A20="",Roster!CS20=""),"",IF(OR(COUNTIFS(Roster!$B$7:$B$26,Roster!$B20,Roster!CS$7:CS$26,"?*")&gt;Setup!$B$5,COUNTIF(Roster!CS$7:CS$26,"?*")&gt;Setup!$B$6),"CLASH","OK"))</f>
        <v/>
      </c>
      <c r="CT20" s="34" t="str">
        <f aca="false">IF(OR(Roster!$A20="",Roster!CT20=""),"",IF(OR(COUNTIFS(Roster!$B$7:$B$26,Roster!$B20,Roster!CT$7:CT$26,"?*")&gt;Setup!$B$5,COUNTIF(Roster!CT$7:CT$26,"?*")&gt;Setup!$B$6),"CLASH","OK"))</f>
        <v/>
      </c>
      <c r="CU20" s="34" t="str">
        <f aca="false">IF(OR(Roster!$A20="",Roster!CU20=""),"",IF(OR(COUNTIFS(Roster!$B$7:$B$26,Roster!$B20,Roster!CU$7:CU$26,"?*")&gt;Setup!$B$5,COUNTIF(Roster!CU$7:CU$26,"?*")&gt;Setup!$B$6),"CLASH","OK"))</f>
        <v/>
      </c>
    </row>
    <row r="21" customFormat="false" ht="15" hidden="false" customHeight="false" outlineLevel="0" collapsed="false">
      <c r="A21" s="33" t="str">
        <f aca="false">IF(Roster!A21="","",Roster!A21)</f>
        <v/>
      </c>
      <c r="B21" s="33" t="str">
        <f aca="false">IF(Roster!A21="","",Roster!B21)</f>
        <v/>
      </c>
      <c r="H21" s="34" t="str">
        <f aca="false">IF(OR(Roster!$A21="",Roster!H21=""),"",IF(OR(COUNTIFS(Roster!$B$7:$B$26,Roster!$B21,Roster!H$7:H$26,"?*")&gt;Setup!$B$5,COUNTIF(Roster!H$7:H$26,"?*")&gt;Setup!$B$6),"CLASH","OK"))</f>
        <v/>
      </c>
      <c r="I21" s="34" t="str">
        <f aca="false">IF(OR(Roster!$A21="",Roster!I21=""),"",IF(OR(COUNTIFS(Roster!$B$7:$B$26,Roster!$B21,Roster!I$7:I$26,"?*")&gt;Setup!$B$5,COUNTIF(Roster!I$7:I$26,"?*")&gt;Setup!$B$6),"CLASH","OK"))</f>
        <v/>
      </c>
      <c r="J21" s="34" t="str">
        <f aca="false">IF(OR(Roster!$A21="",Roster!J21=""),"",IF(OR(COUNTIFS(Roster!$B$7:$B$26,Roster!$B21,Roster!J$7:J$26,"?*")&gt;Setup!$B$5,COUNTIF(Roster!J$7:J$26,"?*")&gt;Setup!$B$6),"CLASH","OK"))</f>
        <v/>
      </c>
      <c r="K21" s="34" t="str">
        <f aca="false">IF(OR(Roster!$A21="",Roster!K21=""),"",IF(OR(COUNTIFS(Roster!$B$7:$B$26,Roster!$B21,Roster!K$7:K$26,"?*")&gt;Setup!$B$5,COUNTIF(Roster!K$7:K$26,"?*")&gt;Setup!$B$6),"CLASH","OK"))</f>
        <v/>
      </c>
      <c r="L21" s="34" t="str">
        <f aca="false">IF(OR(Roster!$A21="",Roster!L21=""),"",IF(OR(COUNTIFS(Roster!$B$7:$B$26,Roster!$B21,Roster!L$7:L$26,"?*")&gt;Setup!$B$5,COUNTIF(Roster!L$7:L$26,"?*")&gt;Setup!$B$6),"CLASH","OK"))</f>
        <v/>
      </c>
      <c r="M21" s="34" t="str">
        <f aca="false">IF(OR(Roster!$A21="",Roster!M21=""),"",IF(OR(COUNTIFS(Roster!$B$7:$B$26,Roster!$B21,Roster!M$7:M$26,"?*")&gt;Setup!$B$5,COUNTIF(Roster!M$7:M$26,"?*")&gt;Setup!$B$6),"CLASH","OK"))</f>
        <v/>
      </c>
      <c r="N21" s="34" t="str">
        <f aca="false">IF(OR(Roster!$A21="",Roster!N21=""),"",IF(OR(COUNTIFS(Roster!$B$7:$B$26,Roster!$B21,Roster!N$7:N$26,"?*")&gt;Setup!$B$5,COUNTIF(Roster!N$7:N$26,"?*")&gt;Setup!$B$6),"CLASH","OK"))</f>
        <v/>
      </c>
      <c r="O21" s="34" t="str">
        <f aca="false">IF(OR(Roster!$A21="",Roster!O21=""),"",IF(OR(COUNTIFS(Roster!$B$7:$B$26,Roster!$B21,Roster!O$7:O$26,"?*")&gt;Setup!$B$5,COUNTIF(Roster!O$7:O$26,"?*")&gt;Setup!$B$6),"CLASH","OK"))</f>
        <v/>
      </c>
      <c r="P21" s="34" t="str">
        <f aca="false">IF(OR(Roster!$A21="",Roster!P21=""),"",IF(OR(COUNTIFS(Roster!$B$7:$B$26,Roster!$B21,Roster!P$7:P$26,"?*")&gt;Setup!$B$5,COUNTIF(Roster!P$7:P$26,"?*")&gt;Setup!$B$6),"CLASH","OK"))</f>
        <v/>
      </c>
      <c r="Q21" s="34" t="str">
        <f aca="false">IF(OR(Roster!$A21="",Roster!Q21=""),"",IF(OR(COUNTIFS(Roster!$B$7:$B$26,Roster!$B21,Roster!Q$7:Q$26,"?*")&gt;Setup!$B$5,COUNTIF(Roster!Q$7:Q$26,"?*")&gt;Setup!$B$6),"CLASH","OK"))</f>
        <v/>
      </c>
      <c r="R21" s="34" t="str">
        <f aca="false">IF(OR(Roster!$A21="",Roster!R21=""),"",IF(OR(COUNTIFS(Roster!$B$7:$B$26,Roster!$B21,Roster!R$7:R$26,"?*")&gt;Setup!$B$5,COUNTIF(Roster!R$7:R$26,"?*")&gt;Setup!$B$6),"CLASH","OK"))</f>
        <v/>
      </c>
      <c r="S21" s="34" t="str">
        <f aca="false">IF(OR(Roster!$A21="",Roster!S21=""),"",IF(OR(COUNTIFS(Roster!$B$7:$B$26,Roster!$B21,Roster!S$7:S$26,"?*")&gt;Setup!$B$5,COUNTIF(Roster!S$7:S$26,"?*")&gt;Setup!$B$6),"CLASH","OK"))</f>
        <v/>
      </c>
      <c r="T21" s="34" t="str">
        <f aca="false">IF(OR(Roster!$A21="",Roster!T21=""),"",IF(OR(COUNTIFS(Roster!$B$7:$B$26,Roster!$B21,Roster!T$7:T$26,"?*")&gt;Setup!$B$5,COUNTIF(Roster!T$7:T$26,"?*")&gt;Setup!$B$6),"CLASH","OK"))</f>
        <v/>
      </c>
      <c r="U21" s="34" t="str">
        <f aca="false">IF(OR(Roster!$A21="",Roster!U21=""),"",IF(OR(COUNTIFS(Roster!$B$7:$B$26,Roster!$B21,Roster!U$7:U$26,"?*")&gt;Setup!$B$5,COUNTIF(Roster!U$7:U$26,"?*")&gt;Setup!$B$6),"CLASH","OK"))</f>
        <v/>
      </c>
      <c r="V21" s="34" t="str">
        <f aca="false">IF(OR(Roster!$A21="",Roster!V21=""),"",IF(OR(COUNTIFS(Roster!$B$7:$B$26,Roster!$B21,Roster!V$7:V$26,"?*")&gt;Setup!$B$5,COUNTIF(Roster!V$7:V$26,"?*")&gt;Setup!$B$6),"CLASH","OK"))</f>
        <v/>
      </c>
      <c r="W21" s="34" t="str">
        <f aca="false">IF(OR(Roster!$A21="",Roster!W21=""),"",IF(OR(COUNTIFS(Roster!$B$7:$B$26,Roster!$B21,Roster!W$7:W$26,"?*")&gt;Setup!$B$5,COUNTIF(Roster!W$7:W$26,"?*")&gt;Setup!$B$6),"CLASH","OK"))</f>
        <v/>
      </c>
      <c r="X21" s="34" t="str">
        <f aca="false">IF(OR(Roster!$A21="",Roster!X21=""),"",IF(OR(COUNTIFS(Roster!$B$7:$B$26,Roster!$B21,Roster!X$7:X$26,"?*")&gt;Setup!$B$5,COUNTIF(Roster!X$7:X$26,"?*")&gt;Setup!$B$6),"CLASH","OK"))</f>
        <v/>
      </c>
      <c r="Y21" s="34" t="str">
        <f aca="false">IF(OR(Roster!$A21="",Roster!Y21=""),"",IF(OR(COUNTIFS(Roster!$B$7:$B$26,Roster!$B21,Roster!Y$7:Y$26,"?*")&gt;Setup!$B$5,COUNTIF(Roster!Y$7:Y$26,"?*")&gt;Setup!$B$6),"CLASH","OK"))</f>
        <v/>
      </c>
      <c r="Z21" s="34" t="str">
        <f aca="false">IF(OR(Roster!$A21="",Roster!Z21=""),"",IF(OR(COUNTIFS(Roster!$B$7:$B$26,Roster!$B21,Roster!Z$7:Z$26,"?*")&gt;Setup!$B$5,COUNTIF(Roster!Z$7:Z$26,"?*")&gt;Setup!$B$6),"CLASH","OK"))</f>
        <v/>
      </c>
      <c r="AA21" s="34" t="str">
        <f aca="false">IF(OR(Roster!$A21="",Roster!AA21=""),"",IF(OR(COUNTIFS(Roster!$B$7:$B$26,Roster!$B21,Roster!AA$7:AA$26,"?*")&gt;Setup!$B$5,COUNTIF(Roster!AA$7:AA$26,"?*")&gt;Setup!$B$6),"CLASH","OK"))</f>
        <v/>
      </c>
      <c r="AB21" s="34" t="str">
        <f aca="false">IF(OR(Roster!$A21="",Roster!AB21=""),"",IF(OR(COUNTIFS(Roster!$B$7:$B$26,Roster!$B21,Roster!AB$7:AB$26,"?*")&gt;Setup!$B$5,COUNTIF(Roster!AB$7:AB$26,"?*")&gt;Setup!$B$6),"CLASH","OK"))</f>
        <v/>
      </c>
      <c r="AC21" s="34" t="str">
        <f aca="false">IF(OR(Roster!$A21="",Roster!AC21=""),"",IF(OR(COUNTIFS(Roster!$B$7:$B$26,Roster!$B21,Roster!AC$7:AC$26,"?*")&gt;Setup!$B$5,COUNTIF(Roster!AC$7:AC$26,"?*")&gt;Setup!$B$6),"CLASH","OK"))</f>
        <v/>
      </c>
      <c r="AD21" s="34" t="str">
        <f aca="false">IF(OR(Roster!$A21="",Roster!AD21=""),"",IF(OR(COUNTIFS(Roster!$B$7:$B$26,Roster!$B21,Roster!AD$7:AD$26,"?*")&gt;Setup!$B$5,COUNTIF(Roster!AD$7:AD$26,"?*")&gt;Setup!$B$6),"CLASH","OK"))</f>
        <v/>
      </c>
      <c r="AE21" s="34" t="str">
        <f aca="false">IF(OR(Roster!$A21="",Roster!AE21=""),"",IF(OR(COUNTIFS(Roster!$B$7:$B$26,Roster!$B21,Roster!AE$7:AE$26,"?*")&gt;Setup!$B$5,COUNTIF(Roster!AE$7:AE$26,"?*")&gt;Setup!$B$6),"CLASH","OK"))</f>
        <v/>
      </c>
      <c r="AF21" s="34" t="str">
        <f aca="false">IF(OR(Roster!$A21="",Roster!AF21=""),"",IF(OR(COUNTIFS(Roster!$B$7:$B$26,Roster!$B21,Roster!AF$7:AF$26,"?*")&gt;Setup!$B$5,COUNTIF(Roster!AF$7:AF$26,"?*")&gt;Setup!$B$6),"CLASH","OK"))</f>
        <v/>
      </c>
      <c r="AG21" s="34" t="str">
        <f aca="false">IF(OR(Roster!$A21="",Roster!AG21=""),"",IF(OR(COUNTIFS(Roster!$B$7:$B$26,Roster!$B21,Roster!AG$7:AG$26,"?*")&gt;Setup!$B$5,COUNTIF(Roster!AG$7:AG$26,"?*")&gt;Setup!$B$6),"CLASH","OK"))</f>
        <v/>
      </c>
      <c r="AH21" s="34" t="str">
        <f aca="false">IF(OR(Roster!$A21="",Roster!AH21=""),"",IF(OR(COUNTIFS(Roster!$B$7:$B$26,Roster!$B21,Roster!AH$7:AH$26,"?*")&gt;Setup!$B$5,COUNTIF(Roster!AH$7:AH$26,"?*")&gt;Setup!$B$6),"CLASH","OK"))</f>
        <v/>
      </c>
      <c r="AI21" s="34" t="str">
        <f aca="false">IF(OR(Roster!$A21="",Roster!AI21=""),"",IF(OR(COUNTIFS(Roster!$B$7:$B$26,Roster!$B21,Roster!AI$7:AI$26,"?*")&gt;Setup!$B$5,COUNTIF(Roster!AI$7:AI$26,"?*")&gt;Setup!$B$6),"CLASH","OK"))</f>
        <v/>
      </c>
      <c r="AJ21" s="34" t="str">
        <f aca="false">IF(OR(Roster!$A21="",Roster!AJ21=""),"",IF(OR(COUNTIFS(Roster!$B$7:$B$26,Roster!$B21,Roster!AJ$7:AJ$26,"?*")&gt;Setup!$B$5,COUNTIF(Roster!AJ$7:AJ$26,"?*")&gt;Setup!$B$6),"CLASH","OK"))</f>
        <v/>
      </c>
      <c r="AK21" s="34" t="str">
        <f aca="false">IF(OR(Roster!$A21="",Roster!AK21=""),"",IF(OR(COUNTIFS(Roster!$B$7:$B$26,Roster!$B21,Roster!AK$7:AK$26,"?*")&gt;Setup!$B$5,COUNTIF(Roster!AK$7:AK$26,"?*")&gt;Setup!$B$6),"CLASH","OK"))</f>
        <v/>
      </c>
      <c r="AL21" s="34" t="str">
        <f aca="false">IF(OR(Roster!$A21="",Roster!AL21=""),"",IF(OR(COUNTIFS(Roster!$B$7:$B$26,Roster!$B21,Roster!AL$7:AL$26,"?*")&gt;Setup!$B$5,COUNTIF(Roster!AL$7:AL$26,"?*")&gt;Setup!$B$6),"CLASH","OK"))</f>
        <v/>
      </c>
      <c r="AM21" s="34" t="str">
        <f aca="false">IF(OR(Roster!$A21="",Roster!AM21=""),"",IF(OR(COUNTIFS(Roster!$B$7:$B$26,Roster!$B21,Roster!AM$7:AM$26,"?*")&gt;Setup!$B$5,COUNTIF(Roster!AM$7:AM$26,"?*")&gt;Setup!$B$6),"CLASH","OK"))</f>
        <v/>
      </c>
      <c r="AN21" s="34" t="str">
        <f aca="false">IF(OR(Roster!$A21="",Roster!AN21=""),"",IF(OR(COUNTIFS(Roster!$B$7:$B$26,Roster!$B21,Roster!AN$7:AN$26,"?*")&gt;Setup!$B$5,COUNTIF(Roster!AN$7:AN$26,"?*")&gt;Setup!$B$6),"CLASH","OK"))</f>
        <v/>
      </c>
      <c r="AO21" s="34" t="str">
        <f aca="false">IF(OR(Roster!$A21="",Roster!AO21=""),"",IF(OR(COUNTIFS(Roster!$B$7:$B$26,Roster!$B21,Roster!AO$7:AO$26,"?*")&gt;Setup!$B$5,COUNTIF(Roster!AO$7:AO$26,"?*")&gt;Setup!$B$6),"CLASH","OK"))</f>
        <v/>
      </c>
      <c r="AP21" s="34" t="str">
        <f aca="false">IF(OR(Roster!$A21="",Roster!AP21=""),"",IF(OR(COUNTIFS(Roster!$B$7:$B$26,Roster!$B21,Roster!AP$7:AP$26,"?*")&gt;Setup!$B$5,COUNTIF(Roster!AP$7:AP$26,"?*")&gt;Setup!$B$6),"CLASH","OK"))</f>
        <v/>
      </c>
      <c r="AQ21" s="34" t="str">
        <f aca="false">IF(OR(Roster!$A21="",Roster!AQ21=""),"",IF(OR(COUNTIFS(Roster!$B$7:$B$26,Roster!$B21,Roster!AQ$7:AQ$26,"?*")&gt;Setup!$B$5,COUNTIF(Roster!AQ$7:AQ$26,"?*")&gt;Setup!$B$6),"CLASH","OK"))</f>
        <v/>
      </c>
      <c r="AR21" s="34" t="str">
        <f aca="false">IF(OR(Roster!$A21="",Roster!AR21=""),"",IF(OR(COUNTIFS(Roster!$B$7:$B$26,Roster!$B21,Roster!AR$7:AR$26,"?*")&gt;Setup!$B$5,COUNTIF(Roster!AR$7:AR$26,"?*")&gt;Setup!$B$6),"CLASH","OK"))</f>
        <v/>
      </c>
      <c r="AS21" s="34" t="str">
        <f aca="false">IF(OR(Roster!$A21="",Roster!AS21=""),"",IF(OR(COUNTIFS(Roster!$B$7:$B$26,Roster!$B21,Roster!AS$7:AS$26,"?*")&gt;Setup!$B$5,COUNTIF(Roster!AS$7:AS$26,"?*")&gt;Setup!$B$6),"CLASH","OK"))</f>
        <v/>
      </c>
      <c r="AT21" s="34" t="str">
        <f aca="false">IF(OR(Roster!$A21="",Roster!AT21=""),"",IF(OR(COUNTIFS(Roster!$B$7:$B$26,Roster!$B21,Roster!AT$7:AT$26,"?*")&gt;Setup!$B$5,COUNTIF(Roster!AT$7:AT$26,"?*")&gt;Setup!$B$6),"CLASH","OK"))</f>
        <v/>
      </c>
      <c r="AU21" s="34" t="str">
        <f aca="false">IF(OR(Roster!$A21="",Roster!AU21=""),"",IF(OR(COUNTIFS(Roster!$B$7:$B$26,Roster!$B21,Roster!AU$7:AU$26,"?*")&gt;Setup!$B$5,COUNTIF(Roster!AU$7:AU$26,"?*")&gt;Setup!$B$6),"CLASH","OK"))</f>
        <v/>
      </c>
      <c r="AV21" s="34" t="str">
        <f aca="false">IF(OR(Roster!$A21="",Roster!AV21=""),"",IF(OR(COUNTIFS(Roster!$B$7:$B$26,Roster!$B21,Roster!AV$7:AV$26,"?*")&gt;Setup!$B$5,COUNTIF(Roster!AV$7:AV$26,"?*")&gt;Setup!$B$6),"CLASH","OK"))</f>
        <v/>
      </c>
      <c r="AW21" s="34" t="str">
        <f aca="false">IF(OR(Roster!$A21="",Roster!AW21=""),"",IF(OR(COUNTIFS(Roster!$B$7:$B$26,Roster!$B21,Roster!AW$7:AW$26,"?*")&gt;Setup!$B$5,COUNTIF(Roster!AW$7:AW$26,"?*")&gt;Setup!$B$6),"CLASH","OK"))</f>
        <v/>
      </c>
      <c r="AX21" s="34" t="str">
        <f aca="false">IF(OR(Roster!$A21="",Roster!AX21=""),"",IF(OR(COUNTIFS(Roster!$B$7:$B$26,Roster!$B21,Roster!AX$7:AX$26,"?*")&gt;Setup!$B$5,COUNTIF(Roster!AX$7:AX$26,"?*")&gt;Setup!$B$6),"CLASH","OK"))</f>
        <v/>
      </c>
      <c r="AY21" s="34" t="str">
        <f aca="false">IF(OR(Roster!$A21="",Roster!AY21=""),"",IF(OR(COUNTIFS(Roster!$B$7:$B$26,Roster!$B21,Roster!AY$7:AY$26,"?*")&gt;Setup!$B$5,COUNTIF(Roster!AY$7:AY$26,"?*")&gt;Setup!$B$6),"CLASH","OK"))</f>
        <v/>
      </c>
      <c r="AZ21" s="34" t="str">
        <f aca="false">IF(OR(Roster!$A21="",Roster!AZ21=""),"",IF(OR(COUNTIFS(Roster!$B$7:$B$26,Roster!$B21,Roster!AZ$7:AZ$26,"?*")&gt;Setup!$B$5,COUNTIF(Roster!AZ$7:AZ$26,"?*")&gt;Setup!$B$6),"CLASH","OK"))</f>
        <v/>
      </c>
      <c r="BA21" s="34" t="str">
        <f aca="false">IF(OR(Roster!$A21="",Roster!BA21=""),"",IF(OR(COUNTIFS(Roster!$B$7:$B$26,Roster!$B21,Roster!BA$7:BA$26,"?*")&gt;Setup!$B$5,COUNTIF(Roster!BA$7:BA$26,"?*")&gt;Setup!$B$6),"CLASH","OK"))</f>
        <v/>
      </c>
      <c r="BB21" s="34" t="str">
        <f aca="false">IF(OR(Roster!$A21="",Roster!BB21=""),"",IF(OR(COUNTIFS(Roster!$B$7:$B$26,Roster!$B21,Roster!BB$7:BB$26,"?*")&gt;Setup!$B$5,COUNTIF(Roster!BB$7:BB$26,"?*")&gt;Setup!$B$6),"CLASH","OK"))</f>
        <v/>
      </c>
      <c r="BC21" s="34" t="str">
        <f aca="false">IF(OR(Roster!$A21="",Roster!BC21=""),"",IF(OR(COUNTIFS(Roster!$B$7:$B$26,Roster!$B21,Roster!BC$7:BC$26,"?*")&gt;Setup!$B$5,COUNTIF(Roster!BC$7:BC$26,"?*")&gt;Setup!$B$6),"CLASH","OK"))</f>
        <v/>
      </c>
      <c r="BD21" s="34" t="str">
        <f aca="false">IF(OR(Roster!$A21="",Roster!BD21=""),"",IF(OR(COUNTIFS(Roster!$B$7:$B$26,Roster!$B21,Roster!BD$7:BD$26,"?*")&gt;Setup!$B$5,COUNTIF(Roster!BD$7:BD$26,"?*")&gt;Setup!$B$6),"CLASH","OK"))</f>
        <v/>
      </c>
      <c r="BE21" s="34" t="str">
        <f aca="false">IF(OR(Roster!$A21="",Roster!BE21=""),"",IF(OR(COUNTIFS(Roster!$B$7:$B$26,Roster!$B21,Roster!BE$7:BE$26,"?*")&gt;Setup!$B$5,COUNTIF(Roster!BE$7:BE$26,"?*")&gt;Setup!$B$6),"CLASH","OK"))</f>
        <v/>
      </c>
      <c r="BF21" s="34" t="str">
        <f aca="false">IF(OR(Roster!$A21="",Roster!BF21=""),"",IF(OR(COUNTIFS(Roster!$B$7:$B$26,Roster!$B21,Roster!BF$7:BF$26,"?*")&gt;Setup!$B$5,COUNTIF(Roster!BF$7:BF$26,"?*")&gt;Setup!$B$6),"CLASH","OK"))</f>
        <v/>
      </c>
      <c r="BG21" s="34" t="str">
        <f aca="false">IF(OR(Roster!$A21="",Roster!BG21=""),"",IF(OR(COUNTIFS(Roster!$B$7:$B$26,Roster!$B21,Roster!BG$7:BG$26,"?*")&gt;Setup!$B$5,COUNTIF(Roster!BG$7:BG$26,"?*")&gt;Setup!$B$6),"CLASH","OK"))</f>
        <v/>
      </c>
      <c r="BH21" s="34" t="str">
        <f aca="false">IF(OR(Roster!$A21="",Roster!BH21=""),"",IF(OR(COUNTIFS(Roster!$B$7:$B$26,Roster!$B21,Roster!BH$7:BH$26,"?*")&gt;Setup!$B$5,COUNTIF(Roster!BH$7:BH$26,"?*")&gt;Setup!$B$6),"CLASH","OK"))</f>
        <v/>
      </c>
      <c r="BI21" s="34" t="str">
        <f aca="false">IF(OR(Roster!$A21="",Roster!BI21=""),"",IF(OR(COUNTIFS(Roster!$B$7:$B$26,Roster!$B21,Roster!BI$7:BI$26,"?*")&gt;Setup!$B$5,COUNTIF(Roster!BI$7:BI$26,"?*")&gt;Setup!$B$6),"CLASH","OK"))</f>
        <v/>
      </c>
      <c r="BJ21" s="34" t="str">
        <f aca="false">IF(OR(Roster!$A21="",Roster!BJ21=""),"",IF(OR(COUNTIFS(Roster!$B$7:$B$26,Roster!$B21,Roster!BJ$7:BJ$26,"?*")&gt;Setup!$B$5,COUNTIF(Roster!BJ$7:BJ$26,"?*")&gt;Setup!$B$6),"CLASH","OK"))</f>
        <v/>
      </c>
      <c r="BK21" s="34" t="str">
        <f aca="false">IF(OR(Roster!$A21="",Roster!BK21=""),"",IF(OR(COUNTIFS(Roster!$B$7:$B$26,Roster!$B21,Roster!BK$7:BK$26,"?*")&gt;Setup!$B$5,COUNTIF(Roster!BK$7:BK$26,"?*")&gt;Setup!$B$6),"CLASH","OK"))</f>
        <v/>
      </c>
      <c r="BL21" s="34" t="str">
        <f aca="false">IF(OR(Roster!$A21="",Roster!BL21=""),"",IF(OR(COUNTIFS(Roster!$B$7:$B$26,Roster!$B21,Roster!BL$7:BL$26,"?*")&gt;Setup!$B$5,COUNTIF(Roster!BL$7:BL$26,"?*")&gt;Setup!$B$6),"CLASH","OK"))</f>
        <v/>
      </c>
      <c r="BM21" s="34" t="str">
        <f aca="false">IF(OR(Roster!$A21="",Roster!BM21=""),"",IF(OR(COUNTIFS(Roster!$B$7:$B$26,Roster!$B21,Roster!BM$7:BM$26,"?*")&gt;Setup!$B$5,COUNTIF(Roster!BM$7:BM$26,"?*")&gt;Setup!$B$6),"CLASH","OK"))</f>
        <v/>
      </c>
      <c r="BN21" s="34" t="str">
        <f aca="false">IF(OR(Roster!$A21="",Roster!BN21=""),"",IF(OR(COUNTIFS(Roster!$B$7:$B$26,Roster!$B21,Roster!BN$7:BN$26,"?*")&gt;Setup!$B$5,COUNTIF(Roster!BN$7:BN$26,"?*")&gt;Setup!$B$6),"CLASH","OK"))</f>
        <v/>
      </c>
      <c r="BO21" s="34" t="str">
        <f aca="false">IF(OR(Roster!$A21="",Roster!BO21=""),"",IF(OR(COUNTIFS(Roster!$B$7:$B$26,Roster!$B21,Roster!BO$7:BO$26,"?*")&gt;Setup!$B$5,COUNTIF(Roster!BO$7:BO$26,"?*")&gt;Setup!$B$6),"CLASH","OK"))</f>
        <v/>
      </c>
      <c r="BP21" s="34" t="str">
        <f aca="false">IF(OR(Roster!$A21="",Roster!BP21=""),"",IF(OR(COUNTIFS(Roster!$B$7:$B$26,Roster!$B21,Roster!BP$7:BP$26,"?*")&gt;Setup!$B$5,COUNTIF(Roster!BP$7:BP$26,"?*")&gt;Setup!$B$6),"CLASH","OK"))</f>
        <v/>
      </c>
      <c r="BQ21" s="34" t="str">
        <f aca="false">IF(OR(Roster!$A21="",Roster!BQ21=""),"",IF(OR(COUNTIFS(Roster!$B$7:$B$26,Roster!$B21,Roster!BQ$7:BQ$26,"?*")&gt;Setup!$B$5,COUNTIF(Roster!BQ$7:BQ$26,"?*")&gt;Setup!$B$6),"CLASH","OK"))</f>
        <v/>
      </c>
      <c r="BR21" s="34" t="str">
        <f aca="false">IF(OR(Roster!$A21="",Roster!BR21=""),"",IF(OR(COUNTIFS(Roster!$B$7:$B$26,Roster!$B21,Roster!BR$7:BR$26,"?*")&gt;Setup!$B$5,COUNTIF(Roster!BR$7:BR$26,"?*")&gt;Setup!$B$6),"CLASH","OK"))</f>
        <v/>
      </c>
      <c r="BS21" s="34" t="str">
        <f aca="false">IF(OR(Roster!$A21="",Roster!BS21=""),"",IF(OR(COUNTIFS(Roster!$B$7:$B$26,Roster!$B21,Roster!BS$7:BS$26,"?*")&gt;Setup!$B$5,COUNTIF(Roster!BS$7:BS$26,"?*")&gt;Setup!$B$6),"CLASH","OK"))</f>
        <v/>
      </c>
      <c r="BT21" s="34" t="str">
        <f aca="false">IF(OR(Roster!$A21="",Roster!BT21=""),"",IF(OR(COUNTIFS(Roster!$B$7:$B$26,Roster!$B21,Roster!BT$7:BT$26,"?*")&gt;Setup!$B$5,COUNTIF(Roster!BT$7:BT$26,"?*")&gt;Setup!$B$6),"CLASH","OK"))</f>
        <v/>
      </c>
      <c r="BU21" s="34" t="str">
        <f aca="false">IF(OR(Roster!$A21="",Roster!BU21=""),"",IF(OR(COUNTIFS(Roster!$B$7:$B$26,Roster!$B21,Roster!BU$7:BU$26,"?*")&gt;Setup!$B$5,COUNTIF(Roster!BU$7:BU$26,"?*")&gt;Setup!$B$6),"CLASH","OK"))</f>
        <v/>
      </c>
      <c r="BV21" s="34" t="str">
        <f aca="false">IF(OR(Roster!$A21="",Roster!BV21=""),"",IF(OR(COUNTIFS(Roster!$B$7:$B$26,Roster!$B21,Roster!BV$7:BV$26,"?*")&gt;Setup!$B$5,COUNTIF(Roster!BV$7:BV$26,"?*")&gt;Setup!$B$6),"CLASH","OK"))</f>
        <v/>
      </c>
      <c r="BW21" s="34" t="str">
        <f aca="false">IF(OR(Roster!$A21="",Roster!BW21=""),"",IF(OR(COUNTIFS(Roster!$B$7:$B$26,Roster!$B21,Roster!BW$7:BW$26,"?*")&gt;Setup!$B$5,COUNTIF(Roster!BW$7:BW$26,"?*")&gt;Setup!$B$6),"CLASH","OK"))</f>
        <v/>
      </c>
      <c r="BX21" s="34" t="str">
        <f aca="false">IF(OR(Roster!$A21="",Roster!BX21=""),"",IF(OR(COUNTIFS(Roster!$B$7:$B$26,Roster!$B21,Roster!BX$7:BX$26,"?*")&gt;Setup!$B$5,COUNTIF(Roster!BX$7:BX$26,"?*")&gt;Setup!$B$6),"CLASH","OK"))</f>
        <v/>
      </c>
      <c r="BY21" s="34" t="str">
        <f aca="false">IF(OR(Roster!$A21="",Roster!BY21=""),"",IF(OR(COUNTIFS(Roster!$B$7:$B$26,Roster!$B21,Roster!BY$7:BY$26,"?*")&gt;Setup!$B$5,COUNTIF(Roster!BY$7:BY$26,"?*")&gt;Setup!$B$6),"CLASH","OK"))</f>
        <v/>
      </c>
      <c r="BZ21" s="34" t="str">
        <f aca="false">IF(OR(Roster!$A21="",Roster!BZ21=""),"",IF(OR(COUNTIFS(Roster!$B$7:$B$26,Roster!$B21,Roster!BZ$7:BZ$26,"?*")&gt;Setup!$B$5,COUNTIF(Roster!BZ$7:BZ$26,"?*")&gt;Setup!$B$6),"CLASH","OK"))</f>
        <v/>
      </c>
      <c r="CA21" s="34" t="str">
        <f aca="false">IF(OR(Roster!$A21="",Roster!CA21=""),"",IF(OR(COUNTIFS(Roster!$B$7:$B$26,Roster!$B21,Roster!CA$7:CA$26,"?*")&gt;Setup!$B$5,COUNTIF(Roster!CA$7:CA$26,"?*")&gt;Setup!$B$6),"CLASH","OK"))</f>
        <v/>
      </c>
      <c r="CB21" s="34" t="str">
        <f aca="false">IF(OR(Roster!$A21="",Roster!CB21=""),"",IF(OR(COUNTIFS(Roster!$B$7:$B$26,Roster!$B21,Roster!CB$7:CB$26,"?*")&gt;Setup!$B$5,COUNTIF(Roster!CB$7:CB$26,"?*")&gt;Setup!$B$6),"CLASH","OK"))</f>
        <v/>
      </c>
      <c r="CC21" s="34" t="str">
        <f aca="false">IF(OR(Roster!$A21="",Roster!CC21=""),"",IF(OR(COUNTIFS(Roster!$B$7:$B$26,Roster!$B21,Roster!CC$7:CC$26,"?*")&gt;Setup!$B$5,COUNTIF(Roster!CC$7:CC$26,"?*")&gt;Setup!$B$6),"CLASH","OK"))</f>
        <v/>
      </c>
      <c r="CD21" s="34" t="str">
        <f aca="false">IF(OR(Roster!$A21="",Roster!CD21=""),"",IF(OR(COUNTIFS(Roster!$B$7:$B$26,Roster!$B21,Roster!CD$7:CD$26,"?*")&gt;Setup!$B$5,COUNTIF(Roster!CD$7:CD$26,"?*")&gt;Setup!$B$6),"CLASH","OK"))</f>
        <v/>
      </c>
      <c r="CE21" s="34" t="str">
        <f aca="false">IF(OR(Roster!$A21="",Roster!CE21=""),"",IF(OR(COUNTIFS(Roster!$B$7:$B$26,Roster!$B21,Roster!CE$7:CE$26,"?*")&gt;Setup!$B$5,COUNTIF(Roster!CE$7:CE$26,"?*")&gt;Setup!$B$6),"CLASH","OK"))</f>
        <v/>
      </c>
      <c r="CF21" s="34" t="str">
        <f aca="false">IF(OR(Roster!$A21="",Roster!CF21=""),"",IF(OR(COUNTIFS(Roster!$B$7:$B$26,Roster!$B21,Roster!CF$7:CF$26,"?*")&gt;Setup!$B$5,COUNTIF(Roster!CF$7:CF$26,"?*")&gt;Setup!$B$6),"CLASH","OK"))</f>
        <v/>
      </c>
      <c r="CG21" s="34" t="str">
        <f aca="false">IF(OR(Roster!$A21="",Roster!CG21=""),"",IF(OR(COUNTIFS(Roster!$B$7:$B$26,Roster!$B21,Roster!CG$7:CG$26,"?*")&gt;Setup!$B$5,COUNTIF(Roster!CG$7:CG$26,"?*")&gt;Setup!$B$6),"CLASH","OK"))</f>
        <v/>
      </c>
      <c r="CH21" s="34" t="str">
        <f aca="false">IF(OR(Roster!$A21="",Roster!CH21=""),"",IF(OR(COUNTIFS(Roster!$B$7:$B$26,Roster!$B21,Roster!CH$7:CH$26,"?*")&gt;Setup!$B$5,COUNTIF(Roster!CH$7:CH$26,"?*")&gt;Setup!$B$6),"CLASH","OK"))</f>
        <v/>
      </c>
      <c r="CI21" s="34" t="str">
        <f aca="false">IF(OR(Roster!$A21="",Roster!CI21=""),"",IF(OR(COUNTIFS(Roster!$B$7:$B$26,Roster!$B21,Roster!CI$7:CI$26,"?*")&gt;Setup!$B$5,COUNTIF(Roster!CI$7:CI$26,"?*")&gt;Setup!$B$6),"CLASH","OK"))</f>
        <v/>
      </c>
      <c r="CJ21" s="34" t="str">
        <f aca="false">IF(OR(Roster!$A21="",Roster!CJ21=""),"",IF(OR(COUNTIFS(Roster!$B$7:$B$26,Roster!$B21,Roster!CJ$7:CJ$26,"?*")&gt;Setup!$B$5,COUNTIF(Roster!CJ$7:CJ$26,"?*")&gt;Setup!$B$6),"CLASH","OK"))</f>
        <v/>
      </c>
      <c r="CK21" s="34" t="str">
        <f aca="false">IF(OR(Roster!$A21="",Roster!CK21=""),"",IF(OR(COUNTIFS(Roster!$B$7:$B$26,Roster!$B21,Roster!CK$7:CK$26,"?*")&gt;Setup!$B$5,COUNTIF(Roster!CK$7:CK$26,"?*")&gt;Setup!$B$6),"CLASH","OK"))</f>
        <v/>
      </c>
      <c r="CL21" s="34" t="str">
        <f aca="false">IF(OR(Roster!$A21="",Roster!CL21=""),"",IF(OR(COUNTIFS(Roster!$B$7:$B$26,Roster!$B21,Roster!CL$7:CL$26,"?*")&gt;Setup!$B$5,COUNTIF(Roster!CL$7:CL$26,"?*")&gt;Setup!$B$6),"CLASH","OK"))</f>
        <v/>
      </c>
      <c r="CM21" s="34" t="str">
        <f aca="false">IF(OR(Roster!$A21="",Roster!CM21=""),"",IF(OR(COUNTIFS(Roster!$B$7:$B$26,Roster!$B21,Roster!CM$7:CM$26,"?*")&gt;Setup!$B$5,COUNTIF(Roster!CM$7:CM$26,"?*")&gt;Setup!$B$6),"CLASH","OK"))</f>
        <v/>
      </c>
      <c r="CN21" s="34" t="str">
        <f aca="false">IF(OR(Roster!$A21="",Roster!CN21=""),"",IF(OR(COUNTIFS(Roster!$B$7:$B$26,Roster!$B21,Roster!CN$7:CN$26,"?*")&gt;Setup!$B$5,COUNTIF(Roster!CN$7:CN$26,"?*")&gt;Setup!$B$6),"CLASH","OK"))</f>
        <v/>
      </c>
      <c r="CO21" s="34" t="str">
        <f aca="false">IF(OR(Roster!$A21="",Roster!CO21=""),"",IF(OR(COUNTIFS(Roster!$B$7:$B$26,Roster!$B21,Roster!CO$7:CO$26,"?*")&gt;Setup!$B$5,COUNTIF(Roster!CO$7:CO$26,"?*")&gt;Setup!$B$6),"CLASH","OK"))</f>
        <v/>
      </c>
      <c r="CP21" s="34" t="str">
        <f aca="false">IF(OR(Roster!$A21="",Roster!CP21=""),"",IF(OR(COUNTIFS(Roster!$B$7:$B$26,Roster!$B21,Roster!CP$7:CP$26,"?*")&gt;Setup!$B$5,COUNTIF(Roster!CP$7:CP$26,"?*")&gt;Setup!$B$6),"CLASH","OK"))</f>
        <v/>
      </c>
      <c r="CQ21" s="34" t="str">
        <f aca="false">IF(OR(Roster!$A21="",Roster!CQ21=""),"",IF(OR(COUNTIFS(Roster!$B$7:$B$26,Roster!$B21,Roster!CQ$7:CQ$26,"?*")&gt;Setup!$B$5,COUNTIF(Roster!CQ$7:CQ$26,"?*")&gt;Setup!$B$6),"CLASH","OK"))</f>
        <v/>
      </c>
      <c r="CR21" s="34" t="str">
        <f aca="false">IF(OR(Roster!$A21="",Roster!CR21=""),"",IF(OR(COUNTIFS(Roster!$B$7:$B$26,Roster!$B21,Roster!CR$7:CR$26,"?*")&gt;Setup!$B$5,COUNTIF(Roster!CR$7:CR$26,"?*")&gt;Setup!$B$6),"CLASH","OK"))</f>
        <v/>
      </c>
      <c r="CS21" s="34" t="str">
        <f aca="false">IF(OR(Roster!$A21="",Roster!CS21=""),"",IF(OR(COUNTIFS(Roster!$B$7:$B$26,Roster!$B21,Roster!CS$7:CS$26,"?*")&gt;Setup!$B$5,COUNTIF(Roster!CS$7:CS$26,"?*")&gt;Setup!$B$6),"CLASH","OK"))</f>
        <v/>
      </c>
      <c r="CT21" s="34" t="str">
        <f aca="false">IF(OR(Roster!$A21="",Roster!CT21=""),"",IF(OR(COUNTIFS(Roster!$B$7:$B$26,Roster!$B21,Roster!CT$7:CT$26,"?*")&gt;Setup!$B$5,COUNTIF(Roster!CT$7:CT$26,"?*")&gt;Setup!$B$6),"CLASH","OK"))</f>
        <v/>
      </c>
      <c r="CU21" s="34" t="str">
        <f aca="false">IF(OR(Roster!$A21="",Roster!CU21=""),"",IF(OR(COUNTIFS(Roster!$B$7:$B$26,Roster!$B21,Roster!CU$7:CU$26,"?*")&gt;Setup!$B$5,COUNTIF(Roster!CU$7:CU$26,"?*")&gt;Setup!$B$6),"CLASH","OK"))</f>
        <v/>
      </c>
    </row>
    <row r="22" customFormat="false" ht="15" hidden="false" customHeight="false" outlineLevel="0" collapsed="false">
      <c r="A22" s="33" t="str">
        <f aca="false">IF(Roster!A22="","",Roster!A22)</f>
        <v/>
      </c>
      <c r="B22" s="33" t="str">
        <f aca="false">IF(Roster!A22="","",Roster!B22)</f>
        <v/>
      </c>
      <c r="H22" s="34" t="str">
        <f aca="false">IF(OR(Roster!$A22="",Roster!H22=""),"",IF(OR(COUNTIFS(Roster!$B$7:$B$26,Roster!$B22,Roster!H$7:H$26,"?*")&gt;Setup!$B$5,COUNTIF(Roster!H$7:H$26,"?*")&gt;Setup!$B$6),"CLASH","OK"))</f>
        <v/>
      </c>
      <c r="I22" s="34" t="str">
        <f aca="false">IF(OR(Roster!$A22="",Roster!I22=""),"",IF(OR(COUNTIFS(Roster!$B$7:$B$26,Roster!$B22,Roster!I$7:I$26,"?*")&gt;Setup!$B$5,COUNTIF(Roster!I$7:I$26,"?*")&gt;Setup!$B$6),"CLASH","OK"))</f>
        <v/>
      </c>
      <c r="J22" s="34" t="str">
        <f aca="false">IF(OR(Roster!$A22="",Roster!J22=""),"",IF(OR(COUNTIFS(Roster!$B$7:$B$26,Roster!$B22,Roster!J$7:J$26,"?*")&gt;Setup!$B$5,COUNTIF(Roster!J$7:J$26,"?*")&gt;Setup!$B$6),"CLASH","OK"))</f>
        <v/>
      </c>
      <c r="K22" s="34" t="str">
        <f aca="false">IF(OR(Roster!$A22="",Roster!K22=""),"",IF(OR(COUNTIFS(Roster!$B$7:$B$26,Roster!$B22,Roster!K$7:K$26,"?*")&gt;Setup!$B$5,COUNTIF(Roster!K$7:K$26,"?*")&gt;Setup!$B$6),"CLASH","OK"))</f>
        <v/>
      </c>
      <c r="L22" s="34" t="str">
        <f aca="false">IF(OR(Roster!$A22="",Roster!L22=""),"",IF(OR(COUNTIFS(Roster!$B$7:$B$26,Roster!$B22,Roster!L$7:L$26,"?*")&gt;Setup!$B$5,COUNTIF(Roster!L$7:L$26,"?*")&gt;Setup!$B$6),"CLASH","OK"))</f>
        <v/>
      </c>
      <c r="M22" s="34" t="str">
        <f aca="false">IF(OR(Roster!$A22="",Roster!M22=""),"",IF(OR(COUNTIFS(Roster!$B$7:$B$26,Roster!$B22,Roster!M$7:M$26,"?*")&gt;Setup!$B$5,COUNTIF(Roster!M$7:M$26,"?*")&gt;Setup!$B$6),"CLASH","OK"))</f>
        <v/>
      </c>
      <c r="N22" s="34" t="str">
        <f aca="false">IF(OR(Roster!$A22="",Roster!N22=""),"",IF(OR(COUNTIFS(Roster!$B$7:$B$26,Roster!$B22,Roster!N$7:N$26,"?*")&gt;Setup!$B$5,COUNTIF(Roster!N$7:N$26,"?*")&gt;Setup!$B$6),"CLASH","OK"))</f>
        <v/>
      </c>
      <c r="O22" s="34" t="str">
        <f aca="false">IF(OR(Roster!$A22="",Roster!O22=""),"",IF(OR(COUNTIFS(Roster!$B$7:$B$26,Roster!$B22,Roster!O$7:O$26,"?*")&gt;Setup!$B$5,COUNTIF(Roster!O$7:O$26,"?*")&gt;Setup!$B$6),"CLASH","OK"))</f>
        <v/>
      </c>
      <c r="P22" s="34" t="str">
        <f aca="false">IF(OR(Roster!$A22="",Roster!P22=""),"",IF(OR(COUNTIFS(Roster!$B$7:$B$26,Roster!$B22,Roster!P$7:P$26,"?*")&gt;Setup!$B$5,COUNTIF(Roster!P$7:P$26,"?*")&gt;Setup!$B$6),"CLASH","OK"))</f>
        <v/>
      </c>
      <c r="Q22" s="34" t="str">
        <f aca="false">IF(OR(Roster!$A22="",Roster!Q22=""),"",IF(OR(COUNTIFS(Roster!$B$7:$B$26,Roster!$B22,Roster!Q$7:Q$26,"?*")&gt;Setup!$B$5,COUNTIF(Roster!Q$7:Q$26,"?*")&gt;Setup!$B$6),"CLASH","OK"))</f>
        <v/>
      </c>
      <c r="R22" s="34" t="str">
        <f aca="false">IF(OR(Roster!$A22="",Roster!R22=""),"",IF(OR(COUNTIFS(Roster!$B$7:$B$26,Roster!$B22,Roster!R$7:R$26,"?*")&gt;Setup!$B$5,COUNTIF(Roster!R$7:R$26,"?*")&gt;Setup!$B$6),"CLASH","OK"))</f>
        <v/>
      </c>
      <c r="S22" s="34" t="str">
        <f aca="false">IF(OR(Roster!$A22="",Roster!S22=""),"",IF(OR(COUNTIFS(Roster!$B$7:$B$26,Roster!$B22,Roster!S$7:S$26,"?*")&gt;Setup!$B$5,COUNTIF(Roster!S$7:S$26,"?*")&gt;Setup!$B$6),"CLASH","OK"))</f>
        <v/>
      </c>
      <c r="T22" s="34" t="str">
        <f aca="false">IF(OR(Roster!$A22="",Roster!T22=""),"",IF(OR(COUNTIFS(Roster!$B$7:$B$26,Roster!$B22,Roster!T$7:T$26,"?*")&gt;Setup!$B$5,COUNTIF(Roster!T$7:T$26,"?*")&gt;Setup!$B$6),"CLASH","OK"))</f>
        <v/>
      </c>
      <c r="U22" s="34" t="str">
        <f aca="false">IF(OR(Roster!$A22="",Roster!U22=""),"",IF(OR(COUNTIFS(Roster!$B$7:$B$26,Roster!$B22,Roster!U$7:U$26,"?*")&gt;Setup!$B$5,COUNTIF(Roster!U$7:U$26,"?*")&gt;Setup!$B$6),"CLASH","OK"))</f>
        <v/>
      </c>
      <c r="V22" s="34" t="str">
        <f aca="false">IF(OR(Roster!$A22="",Roster!V22=""),"",IF(OR(COUNTIFS(Roster!$B$7:$B$26,Roster!$B22,Roster!V$7:V$26,"?*")&gt;Setup!$B$5,COUNTIF(Roster!V$7:V$26,"?*")&gt;Setup!$B$6),"CLASH","OK"))</f>
        <v/>
      </c>
      <c r="W22" s="34" t="str">
        <f aca="false">IF(OR(Roster!$A22="",Roster!W22=""),"",IF(OR(COUNTIFS(Roster!$B$7:$B$26,Roster!$B22,Roster!W$7:W$26,"?*")&gt;Setup!$B$5,COUNTIF(Roster!W$7:W$26,"?*")&gt;Setup!$B$6),"CLASH","OK"))</f>
        <v/>
      </c>
      <c r="X22" s="34" t="str">
        <f aca="false">IF(OR(Roster!$A22="",Roster!X22=""),"",IF(OR(COUNTIFS(Roster!$B$7:$B$26,Roster!$B22,Roster!X$7:X$26,"?*")&gt;Setup!$B$5,COUNTIF(Roster!X$7:X$26,"?*")&gt;Setup!$B$6),"CLASH","OK"))</f>
        <v/>
      </c>
      <c r="Y22" s="34" t="str">
        <f aca="false">IF(OR(Roster!$A22="",Roster!Y22=""),"",IF(OR(COUNTIFS(Roster!$B$7:$B$26,Roster!$B22,Roster!Y$7:Y$26,"?*")&gt;Setup!$B$5,COUNTIF(Roster!Y$7:Y$26,"?*")&gt;Setup!$B$6),"CLASH","OK"))</f>
        <v/>
      </c>
      <c r="Z22" s="34" t="str">
        <f aca="false">IF(OR(Roster!$A22="",Roster!Z22=""),"",IF(OR(COUNTIFS(Roster!$B$7:$B$26,Roster!$B22,Roster!Z$7:Z$26,"?*")&gt;Setup!$B$5,COUNTIF(Roster!Z$7:Z$26,"?*")&gt;Setup!$B$6),"CLASH","OK"))</f>
        <v/>
      </c>
      <c r="AA22" s="34" t="str">
        <f aca="false">IF(OR(Roster!$A22="",Roster!AA22=""),"",IF(OR(COUNTIFS(Roster!$B$7:$B$26,Roster!$B22,Roster!AA$7:AA$26,"?*")&gt;Setup!$B$5,COUNTIF(Roster!AA$7:AA$26,"?*")&gt;Setup!$B$6),"CLASH","OK"))</f>
        <v/>
      </c>
      <c r="AB22" s="34" t="str">
        <f aca="false">IF(OR(Roster!$A22="",Roster!AB22=""),"",IF(OR(COUNTIFS(Roster!$B$7:$B$26,Roster!$B22,Roster!AB$7:AB$26,"?*")&gt;Setup!$B$5,COUNTIF(Roster!AB$7:AB$26,"?*")&gt;Setup!$B$6),"CLASH","OK"))</f>
        <v/>
      </c>
      <c r="AC22" s="34" t="str">
        <f aca="false">IF(OR(Roster!$A22="",Roster!AC22=""),"",IF(OR(COUNTIFS(Roster!$B$7:$B$26,Roster!$B22,Roster!AC$7:AC$26,"?*")&gt;Setup!$B$5,COUNTIF(Roster!AC$7:AC$26,"?*")&gt;Setup!$B$6),"CLASH","OK"))</f>
        <v/>
      </c>
      <c r="AD22" s="34" t="str">
        <f aca="false">IF(OR(Roster!$A22="",Roster!AD22=""),"",IF(OR(COUNTIFS(Roster!$B$7:$B$26,Roster!$B22,Roster!AD$7:AD$26,"?*")&gt;Setup!$B$5,COUNTIF(Roster!AD$7:AD$26,"?*")&gt;Setup!$B$6),"CLASH","OK"))</f>
        <v/>
      </c>
      <c r="AE22" s="34" t="str">
        <f aca="false">IF(OR(Roster!$A22="",Roster!AE22=""),"",IF(OR(COUNTIFS(Roster!$B$7:$B$26,Roster!$B22,Roster!AE$7:AE$26,"?*")&gt;Setup!$B$5,COUNTIF(Roster!AE$7:AE$26,"?*")&gt;Setup!$B$6),"CLASH","OK"))</f>
        <v/>
      </c>
      <c r="AF22" s="34" t="str">
        <f aca="false">IF(OR(Roster!$A22="",Roster!AF22=""),"",IF(OR(COUNTIFS(Roster!$B$7:$B$26,Roster!$B22,Roster!AF$7:AF$26,"?*")&gt;Setup!$B$5,COUNTIF(Roster!AF$7:AF$26,"?*")&gt;Setup!$B$6),"CLASH","OK"))</f>
        <v/>
      </c>
      <c r="AG22" s="34" t="str">
        <f aca="false">IF(OR(Roster!$A22="",Roster!AG22=""),"",IF(OR(COUNTIFS(Roster!$B$7:$B$26,Roster!$B22,Roster!AG$7:AG$26,"?*")&gt;Setup!$B$5,COUNTIF(Roster!AG$7:AG$26,"?*")&gt;Setup!$B$6),"CLASH","OK"))</f>
        <v/>
      </c>
      <c r="AH22" s="34" t="str">
        <f aca="false">IF(OR(Roster!$A22="",Roster!AH22=""),"",IF(OR(COUNTIFS(Roster!$B$7:$B$26,Roster!$B22,Roster!AH$7:AH$26,"?*")&gt;Setup!$B$5,COUNTIF(Roster!AH$7:AH$26,"?*")&gt;Setup!$B$6),"CLASH","OK"))</f>
        <v/>
      </c>
      <c r="AI22" s="34" t="str">
        <f aca="false">IF(OR(Roster!$A22="",Roster!AI22=""),"",IF(OR(COUNTIFS(Roster!$B$7:$B$26,Roster!$B22,Roster!AI$7:AI$26,"?*")&gt;Setup!$B$5,COUNTIF(Roster!AI$7:AI$26,"?*")&gt;Setup!$B$6),"CLASH","OK"))</f>
        <v/>
      </c>
      <c r="AJ22" s="34" t="str">
        <f aca="false">IF(OR(Roster!$A22="",Roster!AJ22=""),"",IF(OR(COUNTIFS(Roster!$B$7:$B$26,Roster!$B22,Roster!AJ$7:AJ$26,"?*")&gt;Setup!$B$5,COUNTIF(Roster!AJ$7:AJ$26,"?*")&gt;Setup!$B$6),"CLASH","OK"))</f>
        <v/>
      </c>
      <c r="AK22" s="34" t="str">
        <f aca="false">IF(OR(Roster!$A22="",Roster!AK22=""),"",IF(OR(COUNTIFS(Roster!$B$7:$B$26,Roster!$B22,Roster!AK$7:AK$26,"?*")&gt;Setup!$B$5,COUNTIF(Roster!AK$7:AK$26,"?*")&gt;Setup!$B$6),"CLASH","OK"))</f>
        <v/>
      </c>
      <c r="AL22" s="34" t="str">
        <f aca="false">IF(OR(Roster!$A22="",Roster!AL22=""),"",IF(OR(COUNTIFS(Roster!$B$7:$B$26,Roster!$B22,Roster!AL$7:AL$26,"?*")&gt;Setup!$B$5,COUNTIF(Roster!AL$7:AL$26,"?*")&gt;Setup!$B$6),"CLASH","OK"))</f>
        <v/>
      </c>
      <c r="AM22" s="34" t="str">
        <f aca="false">IF(OR(Roster!$A22="",Roster!AM22=""),"",IF(OR(COUNTIFS(Roster!$B$7:$B$26,Roster!$B22,Roster!AM$7:AM$26,"?*")&gt;Setup!$B$5,COUNTIF(Roster!AM$7:AM$26,"?*")&gt;Setup!$B$6),"CLASH","OK"))</f>
        <v/>
      </c>
      <c r="AN22" s="34" t="str">
        <f aca="false">IF(OR(Roster!$A22="",Roster!AN22=""),"",IF(OR(COUNTIFS(Roster!$B$7:$B$26,Roster!$B22,Roster!AN$7:AN$26,"?*")&gt;Setup!$B$5,COUNTIF(Roster!AN$7:AN$26,"?*")&gt;Setup!$B$6),"CLASH","OK"))</f>
        <v/>
      </c>
      <c r="AO22" s="34" t="str">
        <f aca="false">IF(OR(Roster!$A22="",Roster!AO22=""),"",IF(OR(COUNTIFS(Roster!$B$7:$B$26,Roster!$B22,Roster!AO$7:AO$26,"?*")&gt;Setup!$B$5,COUNTIF(Roster!AO$7:AO$26,"?*")&gt;Setup!$B$6),"CLASH","OK"))</f>
        <v/>
      </c>
      <c r="AP22" s="34" t="str">
        <f aca="false">IF(OR(Roster!$A22="",Roster!AP22=""),"",IF(OR(COUNTIFS(Roster!$B$7:$B$26,Roster!$B22,Roster!AP$7:AP$26,"?*")&gt;Setup!$B$5,COUNTIF(Roster!AP$7:AP$26,"?*")&gt;Setup!$B$6),"CLASH","OK"))</f>
        <v/>
      </c>
      <c r="AQ22" s="34" t="str">
        <f aca="false">IF(OR(Roster!$A22="",Roster!AQ22=""),"",IF(OR(COUNTIFS(Roster!$B$7:$B$26,Roster!$B22,Roster!AQ$7:AQ$26,"?*")&gt;Setup!$B$5,COUNTIF(Roster!AQ$7:AQ$26,"?*")&gt;Setup!$B$6),"CLASH","OK"))</f>
        <v/>
      </c>
      <c r="AR22" s="34" t="str">
        <f aca="false">IF(OR(Roster!$A22="",Roster!AR22=""),"",IF(OR(COUNTIFS(Roster!$B$7:$B$26,Roster!$B22,Roster!AR$7:AR$26,"?*")&gt;Setup!$B$5,COUNTIF(Roster!AR$7:AR$26,"?*")&gt;Setup!$B$6),"CLASH","OK"))</f>
        <v/>
      </c>
      <c r="AS22" s="34" t="str">
        <f aca="false">IF(OR(Roster!$A22="",Roster!AS22=""),"",IF(OR(COUNTIFS(Roster!$B$7:$B$26,Roster!$B22,Roster!AS$7:AS$26,"?*")&gt;Setup!$B$5,COUNTIF(Roster!AS$7:AS$26,"?*")&gt;Setup!$B$6),"CLASH","OK"))</f>
        <v/>
      </c>
      <c r="AT22" s="34" t="str">
        <f aca="false">IF(OR(Roster!$A22="",Roster!AT22=""),"",IF(OR(COUNTIFS(Roster!$B$7:$B$26,Roster!$B22,Roster!AT$7:AT$26,"?*")&gt;Setup!$B$5,COUNTIF(Roster!AT$7:AT$26,"?*")&gt;Setup!$B$6),"CLASH","OK"))</f>
        <v/>
      </c>
      <c r="AU22" s="34" t="str">
        <f aca="false">IF(OR(Roster!$A22="",Roster!AU22=""),"",IF(OR(COUNTIFS(Roster!$B$7:$B$26,Roster!$B22,Roster!AU$7:AU$26,"?*")&gt;Setup!$B$5,COUNTIF(Roster!AU$7:AU$26,"?*")&gt;Setup!$B$6),"CLASH","OK"))</f>
        <v/>
      </c>
      <c r="AV22" s="34" t="str">
        <f aca="false">IF(OR(Roster!$A22="",Roster!AV22=""),"",IF(OR(COUNTIFS(Roster!$B$7:$B$26,Roster!$B22,Roster!AV$7:AV$26,"?*")&gt;Setup!$B$5,COUNTIF(Roster!AV$7:AV$26,"?*")&gt;Setup!$B$6),"CLASH","OK"))</f>
        <v/>
      </c>
      <c r="AW22" s="34" t="str">
        <f aca="false">IF(OR(Roster!$A22="",Roster!AW22=""),"",IF(OR(COUNTIFS(Roster!$B$7:$B$26,Roster!$B22,Roster!AW$7:AW$26,"?*")&gt;Setup!$B$5,COUNTIF(Roster!AW$7:AW$26,"?*")&gt;Setup!$B$6),"CLASH","OK"))</f>
        <v/>
      </c>
      <c r="AX22" s="34" t="str">
        <f aca="false">IF(OR(Roster!$A22="",Roster!AX22=""),"",IF(OR(COUNTIFS(Roster!$B$7:$B$26,Roster!$B22,Roster!AX$7:AX$26,"?*")&gt;Setup!$B$5,COUNTIF(Roster!AX$7:AX$26,"?*")&gt;Setup!$B$6),"CLASH","OK"))</f>
        <v/>
      </c>
      <c r="AY22" s="34" t="str">
        <f aca="false">IF(OR(Roster!$A22="",Roster!AY22=""),"",IF(OR(COUNTIFS(Roster!$B$7:$B$26,Roster!$B22,Roster!AY$7:AY$26,"?*")&gt;Setup!$B$5,COUNTIF(Roster!AY$7:AY$26,"?*")&gt;Setup!$B$6),"CLASH","OK"))</f>
        <v/>
      </c>
      <c r="AZ22" s="34" t="str">
        <f aca="false">IF(OR(Roster!$A22="",Roster!AZ22=""),"",IF(OR(COUNTIFS(Roster!$B$7:$B$26,Roster!$B22,Roster!AZ$7:AZ$26,"?*")&gt;Setup!$B$5,COUNTIF(Roster!AZ$7:AZ$26,"?*")&gt;Setup!$B$6),"CLASH","OK"))</f>
        <v/>
      </c>
      <c r="BA22" s="34" t="str">
        <f aca="false">IF(OR(Roster!$A22="",Roster!BA22=""),"",IF(OR(COUNTIFS(Roster!$B$7:$B$26,Roster!$B22,Roster!BA$7:BA$26,"?*")&gt;Setup!$B$5,COUNTIF(Roster!BA$7:BA$26,"?*")&gt;Setup!$B$6),"CLASH","OK"))</f>
        <v/>
      </c>
      <c r="BB22" s="34" t="str">
        <f aca="false">IF(OR(Roster!$A22="",Roster!BB22=""),"",IF(OR(COUNTIFS(Roster!$B$7:$B$26,Roster!$B22,Roster!BB$7:BB$26,"?*")&gt;Setup!$B$5,COUNTIF(Roster!BB$7:BB$26,"?*")&gt;Setup!$B$6),"CLASH","OK"))</f>
        <v/>
      </c>
      <c r="BC22" s="34" t="str">
        <f aca="false">IF(OR(Roster!$A22="",Roster!BC22=""),"",IF(OR(COUNTIFS(Roster!$B$7:$B$26,Roster!$B22,Roster!BC$7:BC$26,"?*")&gt;Setup!$B$5,COUNTIF(Roster!BC$7:BC$26,"?*")&gt;Setup!$B$6),"CLASH","OK"))</f>
        <v/>
      </c>
      <c r="BD22" s="34" t="str">
        <f aca="false">IF(OR(Roster!$A22="",Roster!BD22=""),"",IF(OR(COUNTIFS(Roster!$B$7:$B$26,Roster!$B22,Roster!BD$7:BD$26,"?*")&gt;Setup!$B$5,COUNTIF(Roster!BD$7:BD$26,"?*")&gt;Setup!$B$6),"CLASH","OK"))</f>
        <v/>
      </c>
      <c r="BE22" s="34" t="str">
        <f aca="false">IF(OR(Roster!$A22="",Roster!BE22=""),"",IF(OR(COUNTIFS(Roster!$B$7:$B$26,Roster!$B22,Roster!BE$7:BE$26,"?*")&gt;Setup!$B$5,COUNTIF(Roster!BE$7:BE$26,"?*")&gt;Setup!$B$6),"CLASH","OK"))</f>
        <v/>
      </c>
      <c r="BF22" s="34" t="str">
        <f aca="false">IF(OR(Roster!$A22="",Roster!BF22=""),"",IF(OR(COUNTIFS(Roster!$B$7:$B$26,Roster!$B22,Roster!BF$7:BF$26,"?*")&gt;Setup!$B$5,COUNTIF(Roster!BF$7:BF$26,"?*")&gt;Setup!$B$6),"CLASH","OK"))</f>
        <v/>
      </c>
      <c r="BG22" s="34" t="str">
        <f aca="false">IF(OR(Roster!$A22="",Roster!BG22=""),"",IF(OR(COUNTIFS(Roster!$B$7:$B$26,Roster!$B22,Roster!BG$7:BG$26,"?*")&gt;Setup!$B$5,COUNTIF(Roster!BG$7:BG$26,"?*")&gt;Setup!$B$6),"CLASH","OK"))</f>
        <v/>
      </c>
      <c r="BH22" s="34" t="str">
        <f aca="false">IF(OR(Roster!$A22="",Roster!BH22=""),"",IF(OR(COUNTIFS(Roster!$B$7:$B$26,Roster!$B22,Roster!BH$7:BH$26,"?*")&gt;Setup!$B$5,COUNTIF(Roster!BH$7:BH$26,"?*")&gt;Setup!$B$6),"CLASH","OK"))</f>
        <v/>
      </c>
      <c r="BI22" s="34" t="str">
        <f aca="false">IF(OR(Roster!$A22="",Roster!BI22=""),"",IF(OR(COUNTIFS(Roster!$B$7:$B$26,Roster!$B22,Roster!BI$7:BI$26,"?*")&gt;Setup!$B$5,COUNTIF(Roster!BI$7:BI$26,"?*")&gt;Setup!$B$6),"CLASH","OK"))</f>
        <v/>
      </c>
      <c r="BJ22" s="34" t="str">
        <f aca="false">IF(OR(Roster!$A22="",Roster!BJ22=""),"",IF(OR(COUNTIFS(Roster!$B$7:$B$26,Roster!$B22,Roster!BJ$7:BJ$26,"?*")&gt;Setup!$B$5,COUNTIF(Roster!BJ$7:BJ$26,"?*")&gt;Setup!$B$6),"CLASH","OK"))</f>
        <v/>
      </c>
      <c r="BK22" s="34" t="str">
        <f aca="false">IF(OR(Roster!$A22="",Roster!BK22=""),"",IF(OR(COUNTIFS(Roster!$B$7:$B$26,Roster!$B22,Roster!BK$7:BK$26,"?*")&gt;Setup!$B$5,COUNTIF(Roster!BK$7:BK$26,"?*")&gt;Setup!$B$6),"CLASH","OK"))</f>
        <v/>
      </c>
      <c r="BL22" s="34" t="str">
        <f aca="false">IF(OR(Roster!$A22="",Roster!BL22=""),"",IF(OR(COUNTIFS(Roster!$B$7:$B$26,Roster!$B22,Roster!BL$7:BL$26,"?*")&gt;Setup!$B$5,COUNTIF(Roster!BL$7:BL$26,"?*")&gt;Setup!$B$6),"CLASH","OK"))</f>
        <v/>
      </c>
      <c r="BM22" s="34" t="str">
        <f aca="false">IF(OR(Roster!$A22="",Roster!BM22=""),"",IF(OR(COUNTIFS(Roster!$B$7:$B$26,Roster!$B22,Roster!BM$7:BM$26,"?*")&gt;Setup!$B$5,COUNTIF(Roster!BM$7:BM$26,"?*")&gt;Setup!$B$6),"CLASH","OK"))</f>
        <v/>
      </c>
      <c r="BN22" s="34" t="str">
        <f aca="false">IF(OR(Roster!$A22="",Roster!BN22=""),"",IF(OR(COUNTIFS(Roster!$B$7:$B$26,Roster!$B22,Roster!BN$7:BN$26,"?*")&gt;Setup!$B$5,COUNTIF(Roster!BN$7:BN$26,"?*")&gt;Setup!$B$6),"CLASH","OK"))</f>
        <v/>
      </c>
      <c r="BO22" s="34" t="str">
        <f aca="false">IF(OR(Roster!$A22="",Roster!BO22=""),"",IF(OR(COUNTIFS(Roster!$B$7:$B$26,Roster!$B22,Roster!BO$7:BO$26,"?*")&gt;Setup!$B$5,COUNTIF(Roster!BO$7:BO$26,"?*")&gt;Setup!$B$6),"CLASH","OK"))</f>
        <v/>
      </c>
      <c r="BP22" s="34" t="str">
        <f aca="false">IF(OR(Roster!$A22="",Roster!BP22=""),"",IF(OR(COUNTIFS(Roster!$B$7:$B$26,Roster!$B22,Roster!BP$7:BP$26,"?*")&gt;Setup!$B$5,COUNTIF(Roster!BP$7:BP$26,"?*")&gt;Setup!$B$6),"CLASH","OK"))</f>
        <v/>
      </c>
      <c r="BQ22" s="34" t="str">
        <f aca="false">IF(OR(Roster!$A22="",Roster!BQ22=""),"",IF(OR(COUNTIFS(Roster!$B$7:$B$26,Roster!$B22,Roster!BQ$7:BQ$26,"?*")&gt;Setup!$B$5,COUNTIF(Roster!BQ$7:BQ$26,"?*")&gt;Setup!$B$6),"CLASH","OK"))</f>
        <v/>
      </c>
      <c r="BR22" s="34" t="str">
        <f aca="false">IF(OR(Roster!$A22="",Roster!BR22=""),"",IF(OR(COUNTIFS(Roster!$B$7:$B$26,Roster!$B22,Roster!BR$7:BR$26,"?*")&gt;Setup!$B$5,COUNTIF(Roster!BR$7:BR$26,"?*")&gt;Setup!$B$6),"CLASH","OK"))</f>
        <v/>
      </c>
      <c r="BS22" s="34" t="str">
        <f aca="false">IF(OR(Roster!$A22="",Roster!BS22=""),"",IF(OR(COUNTIFS(Roster!$B$7:$B$26,Roster!$B22,Roster!BS$7:BS$26,"?*")&gt;Setup!$B$5,COUNTIF(Roster!BS$7:BS$26,"?*")&gt;Setup!$B$6),"CLASH","OK"))</f>
        <v/>
      </c>
      <c r="BT22" s="34" t="str">
        <f aca="false">IF(OR(Roster!$A22="",Roster!BT22=""),"",IF(OR(COUNTIFS(Roster!$B$7:$B$26,Roster!$B22,Roster!BT$7:BT$26,"?*")&gt;Setup!$B$5,COUNTIF(Roster!BT$7:BT$26,"?*")&gt;Setup!$B$6),"CLASH","OK"))</f>
        <v/>
      </c>
      <c r="BU22" s="34" t="str">
        <f aca="false">IF(OR(Roster!$A22="",Roster!BU22=""),"",IF(OR(COUNTIFS(Roster!$B$7:$B$26,Roster!$B22,Roster!BU$7:BU$26,"?*")&gt;Setup!$B$5,COUNTIF(Roster!BU$7:BU$26,"?*")&gt;Setup!$B$6),"CLASH","OK"))</f>
        <v/>
      </c>
      <c r="BV22" s="34" t="str">
        <f aca="false">IF(OR(Roster!$A22="",Roster!BV22=""),"",IF(OR(COUNTIFS(Roster!$B$7:$B$26,Roster!$B22,Roster!BV$7:BV$26,"?*")&gt;Setup!$B$5,COUNTIF(Roster!BV$7:BV$26,"?*")&gt;Setup!$B$6),"CLASH","OK"))</f>
        <v/>
      </c>
      <c r="BW22" s="34" t="str">
        <f aca="false">IF(OR(Roster!$A22="",Roster!BW22=""),"",IF(OR(COUNTIFS(Roster!$B$7:$B$26,Roster!$B22,Roster!BW$7:BW$26,"?*")&gt;Setup!$B$5,COUNTIF(Roster!BW$7:BW$26,"?*")&gt;Setup!$B$6),"CLASH","OK"))</f>
        <v/>
      </c>
      <c r="BX22" s="34" t="str">
        <f aca="false">IF(OR(Roster!$A22="",Roster!BX22=""),"",IF(OR(COUNTIFS(Roster!$B$7:$B$26,Roster!$B22,Roster!BX$7:BX$26,"?*")&gt;Setup!$B$5,COUNTIF(Roster!BX$7:BX$26,"?*")&gt;Setup!$B$6),"CLASH","OK"))</f>
        <v/>
      </c>
      <c r="BY22" s="34" t="str">
        <f aca="false">IF(OR(Roster!$A22="",Roster!BY22=""),"",IF(OR(COUNTIFS(Roster!$B$7:$B$26,Roster!$B22,Roster!BY$7:BY$26,"?*")&gt;Setup!$B$5,COUNTIF(Roster!BY$7:BY$26,"?*")&gt;Setup!$B$6),"CLASH","OK"))</f>
        <v/>
      </c>
      <c r="BZ22" s="34" t="str">
        <f aca="false">IF(OR(Roster!$A22="",Roster!BZ22=""),"",IF(OR(COUNTIFS(Roster!$B$7:$B$26,Roster!$B22,Roster!BZ$7:BZ$26,"?*")&gt;Setup!$B$5,COUNTIF(Roster!BZ$7:BZ$26,"?*")&gt;Setup!$B$6),"CLASH","OK"))</f>
        <v/>
      </c>
      <c r="CA22" s="34" t="str">
        <f aca="false">IF(OR(Roster!$A22="",Roster!CA22=""),"",IF(OR(COUNTIFS(Roster!$B$7:$B$26,Roster!$B22,Roster!CA$7:CA$26,"?*")&gt;Setup!$B$5,COUNTIF(Roster!CA$7:CA$26,"?*")&gt;Setup!$B$6),"CLASH","OK"))</f>
        <v/>
      </c>
      <c r="CB22" s="34" t="str">
        <f aca="false">IF(OR(Roster!$A22="",Roster!CB22=""),"",IF(OR(COUNTIFS(Roster!$B$7:$B$26,Roster!$B22,Roster!CB$7:CB$26,"?*")&gt;Setup!$B$5,COUNTIF(Roster!CB$7:CB$26,"?*")&gt;Setup!$B$6),"CLASH","OK"))</f>
        <v/>
      </c>
      <c r="CC22" s="34" t="str">
        <f aca="false">IF(OR(Roster!$A22="",Roster!CC22=""),"",IF(OR(COUNTIFS(Roster!$B$7:$B$26,Roster!$B22,Roster!CC$7:CC$26,"?*")&gt;Setup!$B$5,COUNTIF(Roster!CC$7:CC$26,"?*")&gt;Setup!$B$6),"CLASH","OK"))</f>
        <v/>
      </c>
      <c r="CD22" s="34" t="str">
        <f aca="false">IF(OR(Roster!$A22="",Roster!CD22=""),"",IF(OR(COUNTIFS(Roster!$B$7:$B$26,Roster!$B22,Roster!CD$7:CD$26,"?*")&gt;Setup!$B$5,COUNTIF(Roster!CD$7:CD$26,"?*")&gt;Setup!$B$6),"CLASH","OK"))</f>
        <v/>
      </c>
      <c r="CE22" s="34" t="str">
        <f aca="false">IF(OR(Roster!$A22="",Roster!CE22=""),"",IF(OR(COUNTIFS(Roster!$B$7:$B$26,Roster!$B22,Roster!CE$7:CE$26,"?*")&gt;Setup!$B$5,COUNTIF(Roster!CE$7:CE$26,"?*")&gt;Setup!$B$6),"CLASH","OK"))</f>
        <v/>
      </c>
      <c r="CF22" s="34" t="str">
        <f aca="false">IF(OR(Roster!$A22="",Roster!CF22=""),"",IF(OR(COUNTIFS(Roster!$B$7:$B$26,Roster!$B22,Roster!CF$7:CF$26,"?*")&gt;Setup!$B$5,COUNTIF(Roster!CF$7:CF$26,"?*")&gt;Setup!$B$6),"CLASH","OK"))</f>
        <v/>
      </c>
      <c r="CG22" s="34" t="str">
        <f aca="false">IF(OR(Roster!$A22="",Roster!CG22=""),"",IF(OR(COUNTIFS(Roster!$B$7:$B$26,Roster!$B22,Roster!CG$7:CG$26,"?*")&gt;Setup!$B$5,COUNTIF(Roster!CG$7:CG$26,"?*")&gt;Setup!$B$6),"CLASH","OK"))</f>
        <v/>
      </c>
      <c r="CH22" s="34" t="str">
        <f aca="false">IF(OR(Roster!$A22="",Roster!CH22=""),"",IF(OR(COUNTIFS(Roster!$B$7:$B$26,Roster!$B22,Roster!CH$7:CH$26,"?*")&gt;Setup!$B$5,COUNTIF(Roster!CH$7:CH$26,"?*")&gt;Setup!$B$6),"CLASH","OK"))</f>
        <v/>
      </c>
      <c r="CI22" s="34" t="str">
        <f aca="false">IF(OR(Roster!$A22="",Roster!CI22=""),"",IF(OR(COUNTIFS(Roster!$B$7:$B$26,Roster!$B22,Roster!CI$7:CI$26,"?*")&gt;Setup!$B$5,COUNTIF(Roster!CI$7:CI$26,"?*")&gt;Setup!$B$6),"CLASH","OK"))</f>
        <v/>
      </c>
      <c r="CJ22" s="34" t="str">
        <f aca="false">IF(OR(Roster!$A22="",Roster!CJ22=""),"",IF(OR(COUNTIFS(Roster!$B$7:$B$26,Roster!$B22,Roster!CJ$7:CJ$26,"?*")&gt;Setup!$B$5,COUNTIF(Roster!CJ$7:CJ$26,"?*")&gt;Setup!$B$6),"CLASH","OK"))</f>
        <v/>
      </c>
      <c r="CK22" s="34" t="str">
        <f aca="false">IF(OR(Roster!$A22="",Roster!CK22=""),"",IF(OR(COUNTIFS(Roster!$B$7:$B$26,Roster!$B22,Roster!CK$7:CK$26,"?*")&gt;Setup!$B$5,COUNTIF(Roster!CK$7:CK$26,"?*")&gt;Setup!$B$6),"CLASH","OK"))</f>
        <v/>
      </c>
      <c r="CL22" s="34" t="str">
        <f aca="false">IF(OR(Roster!$A22="",Roster!CL22=""),"",IF(OR(COUNTIFS(Roster!$B$7:$B$26,Roster!$B22,Roster!CL$7:CL$26,"?*")&gt;Setup!$B$5,COUNTIF(Roster!CL$7:CL$26,"?*")&gt;Setup!$B$6),"CLASH","OK"))</f>
        <v/>
      </c>
      <c r="CM22" s="34" t="str">
        <f aca="false">IF(OR(Roster!$A22="",Roster!CM22=""),"",IF(OR(COUNTIFS(Roster!$B$7:$B$26,Roster!$B22,Roster!CM$7:CM$26,"?*")&gt;Setup!$B$5,COUNTIF(Roster!CM$7:CM$26,"?*")&gt;Setup!$B$6),"CLASH","OK"))</f>
        <v/>
      </c>
      <c r="CN22" s="34" t="str">
        <f aca="false">IF(OR(Roster!$A22="",Roster!CN22=""),"",IF(OR(COUNTIFS(Roster!$B$7:$B$26,Roster!$B22,Roster!CN$7:CN$26,"?*")&gt;Setup!$B$5,COUNTIF(Roster!CN$7:CN$26,"?*")&gt;Setup!$B$6),"CLASH","OK"))</f>
        <v/>
      </c>
      <c r="CO22" s="34" t="str">
        <f aca="false">IF(OR(Roster!$A22="",Roster!CO22=""),"",IF(OR(COUNTIFS(Roster!$B$7:$B$26,Roster!$B22,Roster!CO$7:CO$26,"?*")&gt;Setup!$B$5,COUNTIF(Roster!CO$7:CO$26,"?*")&gt;Setup!$B$6),"CLASH","OK"))</f>
        <v/>
      </c>
      <c r="CP22" s="34" t="str">
        <f aca="false">IF(OR(Roster!$A22="",Roster!CP22=""),"",IF(OR(COUNTIFS(Roster!$B$7:$B$26,Roster!$B22,Roster!CP$7:CP$26,"?*")&gt;Setup!$B$5,COUNTIF(Roster!CP$7:CP$26,"?*")&gt;Setup!$B$6),"CLASH","OK"))</f>
        <v/>
      </c>
      <c r="CQ22" s="34" t="str">
        <f aca="false">IF(OR(Roster!$A22="",Roster!CQ22=""),"",IF(OR(COUNTIFS(Roster!$B$7:$B$26,Roster!$B22,Roster!CQ$7:CQ$26,"?*")&gt;Setup!$B$5,COUNTIF(Roster!CQ$7:CQ$26,"?*")&gt;Setup!$B$6),"CLASH","OK"))</f>
        <v/>
      </c>
      <c r="CR22" s="34" t="str">
        <f aca="false">IF(OR(Roster!$A22="",Roster!CR22=""),"",IF(OR(COUNTIFS(Roster!$B$7:$B$26,Roster!$B22,Roster!CR$7:CR$26,"?*")&gt;Setup!$B$5,COUNTIF(Roster!CR$7:CR$26,"?*")&gt;Setup!$B$6),"CLASH","OK"))</f>
        <v/>
      </c>
      <c r="CS22" s="34" t="str">
        <f aca="false">IF(OR(Roster!$A22="",Roster!CS22=""),"",IF(OR(COUNTIFS(Roster!$B$7:$B$26,Roster!$B22,Roster!CS$7:CS$26,"?*")&gt;Setup!$B$5,COUNTIF(Roster!CS$7:CS$26,"?*")&gt;Setup!$B$6),"CLASH","OK"))</f>
        <v/>
      </c>
      <c r="CT22" s="34" t="str">
        <f aca="false">IF(OR(Roster!$A22="",Roster!CT22=""),"",IF(OR(COUNTIFS(Roster!$B$7:$B$26,Roster!$B22,Roster!CT$7:CT$26,"?*")&gt;Setup!$B$5,COUNTIF(Roster!CT$7:CT$26,"?*")&gt;Setup!$B$6),"CLASH","OK"))</f>
        <v/>
      </c>
      <c r="CU22" s="34" t="str">
        <f aca="false">IF(OR(Roster!$A22="",Roster!CU22=""),"",IF(OR(COUNTIFS(Roster!$B$7:$B$26,Roster!$B22,Roster!CU$7:CU$26,"?*")&gt;Setup!$B$5,COUNTIF(Roster!CU$7:CU$26,"?*")&gt;Setup!$B$6),"CLASH","OK"))</f>
        <v/>
      </c>
    </row>
    <row r="23" customFormat="false" ht="15" hidden="false" customHeight="false" outlineLevel="0" collapsed="false">
      <c r="A23" s="33" t="str">
        <f aca="false">IF(Roster!A23="","",Roster!A23)</f>
        <v/>
      </c>
      <c r="B23" s="33" t="str">
        <f aca="false">IF(Roster!A23="","",Roster!B23)</f>
        <v/>
      </c>
      <c r="H23" s="34" t="str">
        <f aca="false">IF(OR(Roster!$A23="",Roster!H23=""),"",IF(OR(COUNTIFS(Roster!$B$7:$B$26,Roster!$B23,Roster!H$7:H$26,"?*")&gt;Setup!$B$5,COUNTIF(Roster!H$7:H$26,"?*")&gt;Setup!$B$6),"CLASH","OK"))</f>
        <v/>
      </c>
      <c r="I23" s="34" t="str">
        <f aca="false">IF(OR(Roster!$A23="",Roster!I23=""),"",IF(OR(COUNTIFS(Roster!$B$7:$B$26,Roster!$B23,Roster!I$7:I$26,"?*")&gt;Setup!$B$5,COUNTIF(Roster!I$7:I$26,"?*")&gt;Setup!$B$6),"CLASH","OK"))</f>
        <v/>
      </c>
      <c r="J23" s="34" t="str">
        <f aca="false">IF(OR(Roster!$A23="",Roster!J23=""),"",IF(OR(COUNTIFS(Roster!$B$7:$B$26,Roster!$B23,Roster!J$7:J$26,"?*")&gt;Setup!$B$5,COUNTIF(Roster!J$7:J$26,"?*")&gt;Setup!$B$6),"CLASH","OK"))</f>
        <v/>
      </c>
      <c r="K23" s="34" t="str">
        <f aca="false">IF(OR(Roster!$A23="",Roster!K23=""),"",IF(OR(COUNTIFS(Roster!$B$7:$B$26,Roster!$B23,Roster!K$7:K$26,"?*")&gt;Setup!$B$5,COUNTIF(Roster!K$7:K$26,"?*")&gt;Setup!$B$6),"CLASH","OK"))</f>
        <v/>
      </c>
      <c r="L23" s="34" t="str">
        <f aca="false">IF(OR(Roster!$A23="",Roster!L23=""),"",IF(OR(COUNTIFS(Roster!$B$7:$B$26,Roster!$B23,Roster!L$7:L$26,"?*")&gt;Setup!$B$5,COUNTIF(Roster!L$7:L$26,"?*")&gt;Setup!$B$6),"CLASH","OK"))</f>
        <v/>
      </c>
      <c r="M23" s="34" t="str">
        <f aca="false">IF(OR(Roster!$A23="",Roster!M23=""),"",IF(OR(COUNTIFS(Roster!$B$7:$B$26,Roster!$B23,Roster!M$7:M$26,"?*")&gt;Setup!$B$5,COUNTIF(Roster!M$7:M$26,"?*")&gt;Setup!$B$6),"CLASH","OK"))</f>
        <v/>
      </c>
      <c r="N23" s="34" t="str">
        <f aca="false">IF(OR(Roster!$A23="",Roster!N23=""),"",IF(OR(COUNTIFS(Roster!$B$7:$B$26,Roster!$B23,Roster!N$7:N$26,"?*")&gt;Setup!$B$5,COUNTIF(Roster!N$7:N$26,"?*")&gt;Setup!$B$6),"CLASH","OK"))</f>
        <v/>
      </c>
      <c r="O23" s="34" t="str">
        <f aca="false">IF(OR(Roster!$A23="",Roster!O23=""),"",IF(OR(COUNTIFS(Roster!$B$7:$B$26,Roster!$B23,Roster!O$7:O$26,"?*")&gt;Setup!$B$5,COUNTIF(Roster!O$7:O$26,"?*")&gt;Setup!$B$6),"CLASH","OK"))</f>
        <v/>
      </c>
      <c r="P23" s="34" t="str">
        <f aca="false">IF(OR(Roster!$A23="",Roster!P23=""),"",IF(OR(COUNTIFS(Roster!$B$7:$B$26,Roster!$B23,Roster!P$7:P$26,"?*")&gt;Setup!$B$5,COUNTIF(Roster!P$7:P$26,"?*")&gt;Setup!$B$6),"CLASH","OK"))</f>
        <v/>
      </c>
      <c r="Q23" s="34" t="str">
        <f aca="false">IF(OR(Roster!$A23="",Roster!Q23=""),"",IF(OR(COUNTIFS(Roster!$B$7:$B$26,Roster!$B23,Roster!Q$7:Q$26,"?*")&gt;Setup!$B$5,COUNTIF(Roster!Q$7:Q$26,"?*")&gt;Setup!$B$6),"CLASH","OK"))</f>
        <v/>
      </c>
      <c r="R23" s="34" t="str">
        <f aca="false">IF(OR(Roster!$A23="",Roster!R23=""),"",IF(OR(COUNTIFS(Roster!$B$7:$B$26,Roster!$B23,Roster!R$7:R$26,"?*")&gt;Setup!$B$5,COUNTIF(Roster!R$7:R$26,"?*")&gt;Setup!$B$6),"CLASH","OK"))</f>
        <v/>
      </c>
      <c r="S23" s="34" t="str">
        <f aca="false">IF(OR(Roster!$A23="",Roster!S23=""),"",IF(OR(COUNTIFS(Roster!$B$7:$B$26,Roster!$B23,Roster!S$7:S$26,"?*")&gt;Setup!$B$5,COUNTIF(Roster!S$7:S$26,"?*")&gt;Setup!$B$6),"CLASH","OK"))</f>
        <v/>
      </c>
      <c r="T23" s="34" t="str">
        <f aca="false">IF(OR(Roster!$A23="",Roster!T23=""),"",IF(OR(COUNTIFS(Roster!$B$7:$B$26,Roster!$B23,Roster!T$7:T$26,"?*")&gt;Setup!$B$5,COUNTIF(Roster!T$7:T$26,"?*")&gt;Setup!$B$6),"CLASH","OK"))</f>
        <v/>
      </c>
      <c r="U23" s="34" t="str">
        <f aca="false">IF(OR(Roster!$A23="",Roster!U23=""),"",IF(OR(COUNTIFS(Roster!$B$7:$B$26,Roster!$B23,Roster!U$7:U$26,"?*")&gt;Setup!$B$5,COUNTIF(Roster!U$7:U$26,"?*")&gt;Setup!$B$6),"CLASH","OK"))</f>
        <v/>
      </c>
      <c r="V23" s="34" t="str">
        <f aca="false">IF(OR(Roster!$A23="",Roster!V23=""),"",IF(OR(COUNTIFS(Roster!$B$7:$B$26,Roster!$B23,Roster!V$7:V$26,"?*")&gt;Setup!$B$5,COUNTIF(Roster!V$7:V$26,"?*")&gt;Setup!$B$6),"CLASH","OK"))</f>
        <v/>
      </c>
      <c r="W23" s="34" t="str">
        <f aca="false">IF(OR(Roster!$A23="",Roster!W23=""),"",IF(OR(COUNTIFS(Roster!$B$7:$B$26,Roster!$B23,Roster!W$7:W$26,"?*")&gt;Setup!$B$5,COUNTIF(Roster!W$7:W$26,"?*")&gt;Setup!$B$6),"CLASH","OK"))</f>
        <v/>
      </c>
      <c r="X23" s="34" t="str">
        <f aca="false">IF(OR(Roster!$A23="",Roster!X23=""),"",IF(OR(COUNTIFS(Roster!$B$7:$B$26,Roster!$B23,Roster!X$7:X$26,"?*")&gt;Setup!$B$5,COUNTIF(Roster!X$7:X$26,"?*")&gt;Setup!$B$6),"CLASH","OK"))</f>
        <v/>
      </c>
      <c r="Y23" s="34" t="str">
        <f aca="false">IF(OR(Roster!$A23="",Roster!Y23=""),"",IF(OR(COUNTIFS(Roster!$B$7:$B$26,Roster!$B23,Roster!Y$7:Y$26,"?*")&gt;Setup!$B$5,COUNTIF(Roster!Y$7:Y$26,"?*")&gt;Setup!$B$6),"CLASH","OK"))</f>
        <v/>
      </c>
      <c r="Z23" s="34" t="str">
        <f aca="false">IF(OR(Roster!$A23="",Roster!Z23=""),"",IF(OR(COUNTIFS(Roster!$B$7:$B$26,Roster!$B23,Roster!Z$7:Z$26,"?*")&gt;Setup!$B$5,COUNTIF(Roster!Z$7:Z$26,"?*")&gt;Setup!$B$6),"CLASH","OK"))</f>
        <v/>
      </c>
      <c r="AA23" s="34" t="str">
        <f aca="false">IF(OR(Roster!$A23="",Roster!AA23=""),"",IF(OR(COUNTIFS(Roster!$B$7:$B$26,Roster!$B23,Roster!AA$7:AA$26,"?*")&gt;Setup!$B$5,COUNTIF(Roster!AA$7:AA$26,"?*")&gt;Setup!$B$6),"CLASH","OK"))</f>
        <v/>
      </c>
      <c r="AB23" s="34" t="str">
        <f aca="false">IF(OR(Roster!$A23="",Roster!AB23=""),"",IF(OR(COUNTIFS(Roster!$B$7:$B$26,Roster!$B23,Roster!AB$7:AB$26,"?*")&gt;Setup!$B$5,COUNTIF(Roster!AB$7:AB$26,"?*")&gt;Setup!$B$6),"CLASH","OK"))</f>
        <v/>
      </c>
      <c r="AC23" s="34" t="str">
        <f aca="false">IF(OR(Roster!$A23="",Roster!AC23=""),"",IF(OR(COUNTIFS(Roster!$B$7:$B$26,Roster!$B23,Roster!AC$7:AC$26,"?*")&gt;Setup!$B$5,COUNTIF(Roster!AC$7:AC$26,"?*")&gt;Setup!$B$6),"CLASH","OK"))</f>
        <v/>
      </c>
      <c r="AD23" s="34" t="str">
        <f aca="false">IF(OR(Roster!$A23="",Roster!AD23=""),"",IF(OR(COUNTIFS(Roster!$B$7:$B$26,Roster!$B23,Roster!AD$7:AD$26,"?*")&gt;Setup!$B$5,COUNTIF(Roster!AD$7:AD$26,"?*")&gt;Setup!$B$6),"CLASH","OK"))</f>
        <v/>
      </c>
      <c r="AE23" s="34" t="str">
        <f aca="false">IF(OR(Roster!$A23="",Roster!AE23=""),"",IF(OR(COUNTIFS(Roster!$B$7:$B$26,Roster!$B23,Roster!AE$7:AE$26,"?*")&gt;Setup!$B$5,COUNTIF(Roster!AE$7:AE$26,"?*")&gt;Setup!$B$6),"CLASH","OK"))</f>
        <v/>
      </c>
      <c r="AF23" s="34" t="str">
        <f aca="false">IF(OR(Roster!$A23="",Roster!AF23=""),"",IF(OR(COUNTIFS(Roster!$B$7:$B$26,Roster!$B23,Roster!AF$7:AF$26,"?*")&gt;Setup!$B$5,COUNTIF(Roster!AF$7:AF$26,"?*")&gt;Setup!$B$6),"CLASH","OK"))</f>
        <v/>
      </c>
      <c r="AG23" s="34" t="str">
        <f aca="false">IF(OR(Roster!$A23="",Roster!AG23=""),"",IF(OR(COUNTIFS(Roster!$B$7:$B$26,Roster!$B23,Roster!AG$7:AG$26,"?*")&gt;Setup!$B$5,COUNTIF(Roster!AG$7:AG$26,"?*")&gt;Setup!$B$6),"CLASH","OK"))</f>
        <v/>
      </c>
      <c r="AH23" s="34" t="str">
        <f aca="false">IF(OR(Roster!$A23="",Roster!AH23=""),"",IF(OR(COUNTIFS(Roster!$B$7:$B$26,Roster!$B23,Roster!AH$7:AH$26,"?*")&gt;Setup!$B$5,COUNTIF(Roster!AH$7:AH$26,"?*")&gt;Setup!$B$6),"CLASH","OK"))</f>
        <v/>
      </c>
      <c r="AI23" s="34" t="str">
        <f aca="false">IF(OR(Roster!$A23="",Roster!AI23=""),"",IF(OR(COUNTIFS(Roster!$B$7:$B$26,Roster!$B23,Roster!AI$7:AI$26,"?*")&gt;Setup!$B$5,COUNTIF(Roster!AI$7:AI$26,"?*")&gt;Setup!$B$6),"CLASH","OK"))</f>
        <v/>
      </c>
      <c r="AJ23" s="34" t="str">
        <f aca="false">IF(OR(Roster!$A23="",Roster!AJ23=""),"",IF(OR(COUNTIFS(Roster!$B$7:$B$26,Roster!$B23,Roster!AJ$7:AJ$26,"?*")&gt;Setup!$B$5,COUNTIF(Roster!AJ$7:AJ$26,"?*")&gt;Setup!$B$6),"CLASH","OK"))</f>
        <v/>
      </c>
      <c r="AK23" s="34" t="str">
        <f aca="false">IF(OR(Roster!$A23="",Roster!AK23=""),"",IF(OR(COUNTIFS(Roster!$B$7:$B$26,Roster!$B23,Roster!AK$7:AK$26,"?*")&gt;Setup!$B$5,COUNTIF(Roster!AK$7:AK$26,"?*")&gt;Setup!$B$6),"CLASH","OK"))</f>
        <v/>
      </c>
      <c r="AL23" s="34" t="str">
        <f aca="false">IF(OR(Roster!$A23="",Roster!AL23=""),"",IF(OR(COUNTIFS(Roster!$B$7:$B$26,Roster!$B23,Roster!AL$7:AL$26,"?*")&gt;Setup!$B$5,COUNTIF(Roster!AL$7:AL$26,"?*")&gt;Setup!$B$6),"CLASH","OK"))</f>
        <v/>
      </c>
      <c r="AM23" s="34" t="str">
        <f aca="false">IF(OR(Roster!$A23="",Roster!AM23=""),"",IF(OR(COUNTIFS(Roster!$B$7:$B$26,Roster!$B23,Roster!AM$7:AM$26,"?*")&gt;Setup!$B$5,COUNTIF(Roster!AM$7:AM$26,"?*")&gt;Setup!$B$6),"CLASH","OK"))</f>
        <v/>
      </c>
      <c r="AN23" s="34" t="str">
        <f aca="false">IF(OR(Roster!$A23="",Roster!AN23=""),"",IF(OR(COUNTIFS(Roster!$B$7:$B$26,Roster!$B23,Roster!AN$7:AN$26,"?*")&gt;Setup!$B$5,COUNTIF(Roster!AN$7:AN$26,"?*")&gt;Setup!$B$6),"CLASH","OK"))</f>
        <v/>
      </c>
      <c r="AO23" s="34" t="str">
        <f aca="false">IF(OR(Roster!$A23="",Roster!AO23=""),"",IF(OR(COUNTIFS(Roster!$B$7:$B$26,Roster!$B23,Roster!AO$7:AO$26,"?*")&gt;Setup!$B$5,COUNTIF(Roster!AO$7:AO$26,"?*")&gt;Setup!$B$6),"CLASH","OK"))</f>
        <v/>
      </c>
      <c r="AP23" s="34" t="str">
        <f aca="false">IF(OR(Roster!$A23="",Roster!AP23=""),"",IF(OR(COUNTIFS(Roster!$B$7:$B$26,Roster!$B23,Roster!AP$7:AP$26,"?*")&gt;Setup!$B$5,COUNTIF(Roster!AP$7:AP$26,"?*")&gt;Setup!$B$6),"CLASH","OK"))</f>
        <v/>
      </c>
      <c r="AQ23" s="34" t="str">
        <f aca="false">IF(OR(Roster!$A23="",Roster!AQ23=""),"",IF(OR(COUNTIFS(Roster!$B$7:$B$26,Roster!$B23,Roster!AQ$7:AQ$26,"?*")&gt;Setup!$B$5,COUNTIF(Roster!AQ$7:AQ$26,"?*")&gt;Setup!$B$6),"CLASH","OK"))</f>
        <v/>
      </c>
      <c r="AR23" s="34" t="str">
        <f aca="false">IF(OR(Roster!$A23="",Roster!AR23=""),"",IF(OR(COUNTIFS(Roster!$B$7:$B$26,Roster!$B23,Roster!AR$7:AR$26,"?*")&gt;Setup!$B$5,COUNTIF(Roster!AR$7:AR$26,"?*")&gt;Setup!$B$6),"CLASH","OK"))</f>
        <v/>
      </c>
      <c r="AS23" s="34" t="str">
        <f aca="false">IF(OR(Roster!$A23="",Roster!AS23=""),"",IF(OR(COUNTIFS(Roster!$B$7:$B$26,Roster!$B23,Roster!AS$7:AS$26,"?*")&gt;Setup!$B$5,COUNTIF(Roster!AS$7:AS$26,"?*")&gt;Setup!$B$6),"CLASH","OK"))</f>
        <v/>
      </c>
      <c r="AT23" s="34" t="str">
        <f aca="false">IF(OR(Roster!$A23="",Roster!AT23=""),"",IF(OR(COUNTIFS(Roster!$B$7:$B$26,Roster!$B23,Roster!AT$7:AT$26,"?*")&gt;Setup!$B$5,COUNTIF(Roster!AT$7:AT$26,"?*")&gt;Setup!$B$6),"CLASH","OK"))</f>
        <v/>
      </c>
      <c r="AU23" s="34" t="str">
        <f aca="false">IF(OR(Roster!$A23="",Roster!AU23=""),"",IF(OR(COUNTIFS(Roster!$B$7:$B$26,Roster!$B23,Roster!AU$7:AU$26,"?*")&gt;Setup!$B$5,COUNTIF(Roster!AU$7:AU$26,"?*")&gt;Setup!$B$6),"CLASH","OK"))</f>
        <v/>
      </c>
      <c r="AV23" s="34" t="str">
        <f aca="false">IF(OR(Roster!$A23="",Roster!AV23=""),"",IF(OR(COUNTIFS(Roster!$B$7:$B$26,Roster!$B23,Roster!AV$7:AV$26,"?*")&gt;Setup!$B$5,COUNTIF(Roster!AV$7:AV$26,"?*")&gt;Setup!$B$6),"CLASH","OK"))</f>
        <v/>
      </c>
      <c r="AW23" s="34" t="str">
        <f aca="false">IF(OR(Roster!$A23="",Roster!AW23=""),"",IF(OR(COUNTIFS(Roster!$B$7:$B$26,Roster!$B23,Roster!AW$7:AW$26,"?*")&gt;Setup!$B$5,COUNTIF(Roster!AW$7:AW$26,"?*")&gt;Setup!$B$6),"CLASH","OK"))</f>
        <v/>
      </c>
      <c r="AX23" s="34" t="str">
        <f aca="false">IF(OR(Roster!$A23="",Roster!AX23=""),"",IF(OR(COUNTIFS(Roster!$B$7:$B$26,Roster!$B23,Roster!AX$7:AX$26,"?*")&gt;Setup!$B$5,COUNTIF(Roster!AX$7:AX$26,"?*")&gt;Setup!$B$6),"CLASH","OK"))</f>
        <v/>
      </c>
      <c r="AY23" s="34" t="str">
        <f aca="false">IF(OR(Roster!$A23="",Roster!AY23=""),"",IF(OR(COUNTIFS(Roster!$B$7:$B$26,Roster!$B23,Roster!AY$7:AY$26,"?*")&gt;Setup!$B$5,COUNTIF(Roster!AY$7:AY$26,"?*")&gt;Setup!$B$6),"CLASH","OK"))</f>
        <v/>
      </c>
      <c r="AZ23" s="34" t="str">
        <f aca="false">IF(OR(Roster!$A23="",Roster!AZ23=""),"",IF(OR(COUNTIFS(Roster!$B$7:$B$26,Roster!$B23,Roster!AZ$7:AZ$26,"?*")&gt;Setup!$B$5,COUNTIF(Roster!AZ$7:AZ$26,"?*")&gt;Setup!$B$6),"CLASH","OK"))</f>
        <v/>
      </c>
      <c r="BA23" s="34" t="str">
        <f aca="false">IF(OR(Roster!$A23="",Roster!BA23=""),"",IF(OR(COUNTIFS(Roster!$B$7:$B$26,Roster!$B23,Roster!BA$7:BA$26,"?*")&gt;Setup!$B$5,COUNTIF(Roster!BA$7:BA$26,"?*")&gt;Setup!$B$6),"CLASH","OK"))</f>
        <v/>
      </c>
      <c r="BB23" s="34" t="str">
        <f aca="false">IF(OR(Roster!$A23="",Roster!BB23=""),"",IF(OR(COUNTIFS(Roster!$B$7:$B$26,Roster!$B23,Roster!BB$7:BB$26,"?*")&gt;Setup!$B$5,COUNTIF(Roster!BB$7:BB$26,"?*")&gt;Setup!$B$6),"CLASH","OK"))</f>
        <v/>
      </c>
      <c r="BC23" s="34" t="str">
        <f aca="false">IF(OR(Roster!$A23="",Roster!BC23=""),"",IF(OR(COUNTIFS(Roster!$B$7:$B$26,Roster!$B23,Roster!BC$7:BC$26,"?*")&gt;Setup!$B$5,COUNTIF(Roster!BC$7:BC$26,"?*")&gt;Setup!$B$6),"CLASH","OK"))</f>
        <v/>
      </c>
      <c r="BD23" s="34" t="str">
        <f aca="false">IF(OR(Roster!$A23="",Roster!BD23=""),"",IF(OR(COUNTIFS(Roster!$B$7:$B$26,Roster!$B23,Roster!BD$7:BD$26,"?*")&gt;Setup!$B$5,COUNTIF(Roster!BD$7:BD$26,"?*")&gt;Setup!$B$6),"CLASH","OK"))</f>
        <v/>
      </c>
      <c r="BE23" s="34" t="str">
        <f aca="false">IF(OR(Roster!$A23="",Roster!BE23=""),"",IF(OR(COUNTIFS(Roster!$B$7:$B$26,Roster!$B23,Roster!BE$7:BE$26,"?*")&gt;Setup!$B$5,COUNTIF(Roster!BE$7:BE$26,"?*")&gt;Setup!$B$6),"CLASH","OK"))</f>
        <v/>
      </c>
      <c r="BF23" s="34" t="str">
        <f aca="false">IF(OR(Roster!$A23="",Roster!BF23=""),"",IF(OR(COUNTIFS(Roster!$B$7:$B$26,Roster!$B23,Roster!BF$7:BF$26,"?*")&gt;Setup!$B$5,COUNTIF(Roster!BF$7:BF$26,"?*")&gt;Setup!$B$6),"CLASH","OK"))</f>
        <v/>
      </c>
      <c r="BG23" s="34" t="str">
        <f aca="false">IF(OR(Roster!$A23="",Roster!BG23=""),"",IF(OR(COUNTIFS(Roster!$B$7:$B$26,Roster!$B23,Roster!BG$7:BG$26,"?*")&gt;Setup!$B$5,COUNTIF(Roster!BG$7:BG$26,"?*")&gt;Setup!$B$6),"CLASH","OK"))</f>
        <v/>
      </c>
      <c r="BH23" s="34" t="str">
        <f aca="false">IF(OR(Roster!$A23="",Roster!BH23=""),"",IF(OR(COUNTIFS(Roster!$B$7:$B$26,Roster!$B23,Roster!BH$7:BH$26,"?*")&gt;Setup!$B$5,COUNTIF(Roster!BH$7:BH$26,"?*")&gt;Setup!$B$6),"CLASH","OK"))</f>
        <v/>
      </c>
      <c r="BI23" s="34" t="str">
        <f aca="false">IF(OR(Roster!$A23="",Roster!BI23=""),"",IF(OR(COUNTIFS(Roster!$B$7:$B$26,Roster!$B23,Roster!BI$7:BI$26,"?*")&gt;Setup!$B$5,COUNTIF(Roster!BI$7:BI$26,"?*")&gt;Setup!$B$6),"CLASH","OK"))</f>
        <v/>
      </c>
      <c r="BJ23" s="34" t="str">
        <f aca="false">IF(OR(Roster!$A23="",Roster!BJ23=""),"",IF(OR(COUNTIFS(Roster!$B$7:$B$26,Roster!$B23,Roster!BJ$7:BJ$26,"?*")&gt;Setup!$B$5,COUNTIF(Roster!BJ$7:BJ$26,"?*")&gt;Setup!$B$6),"CLASH","OK"))</f>
        <v/>
      </c>
      <c r="BK23" s="34" t="str">
        <f aca="false">IF(OR(Roster!$A23="",Roster!BK23=""),"",IF(OR(COUNTIFS(Roster!$B$7:$B$26,Roster!$B23,Roster!BK$7:BK$26,"?*")&gt;Setup!$B$5,COUNTIF(Roster!BK$7:BK$26,"?*")&gt;Setup!$B$6),"CLASH","OK"))</f>
        <v/>
      </c>
      <c r="BL23" s="34" t="str">
        <f aca="false">IF(OR(Roster!$A23="",Roster!BL23=""),"",IF(OR(COUNTIFS(Roster!$B$7:$B$26,Roster!$B23,Roster!BL$7:BL$26,"?*")&gt;Setup!$B$5,COUNTIF(Roster!BL$7:BL$26,"?*")&gt;Setup!$B$6),"CLASH","OK"))</f>
        <v/>
      </c>
      <c r="BM23" s="34" t="str">
        <f aca="false">IF(OR(Roster!$A23="",Roster!BM23=""),"",IF(OR(COUNTIFS(Roster!$B$7:$B$26,Roster!$B23,Roster!BM$7:BM$26,"?*")&gt;Setup!$B$5,COUNTIF(Roster!BM$7:BM$26,"?*")&gt;Setup!$B$6),"CLASH","OK"))</f>
        <v/>
      </c>
      <c r="BN23" s="34" t="str">
        <f aca="false">IF(OR(Roster!$A23="",Roster!BN23=""),"",IF(OR(COUNTIFS(Roster!$B$7:$B$26,Roster!$B23,Roster!BN$7:BN$26,"?*")&gt;Setup!$B$5,COUNTIF(Roster!BN$7:BN$26,"?*")&gt;Setup!$B$6),"CLASH","OK"))</f>
        <v/>
      </c>
      <c r="BO23" s="34" t="str">
        <f aca="false">IF(OR(Roster!$A23="",Roster!BO23=""),"",IF(OR(COUNTIFS(Roster!$B$7:$B$26,Roster!$B23,Roster!BO$7:BO$26,"?*")&gt;Setup!$B$5,COUNTIF(Roster!BO$7:BO$26,"?*")&gt;Setup!$B$6),"CLASH","OK"))</f>
        <v/>
      </c>
      <c r="BP23" s="34" t="str">
        <f aca="false">IF(OR(Roster!$A23="",Roster!BP23=""),"",IF(OR(COUNTIFS(Roster!$B$7:$B$26,Roster!$B23,Roster!BP$7:BP$26,"?*")&gt;Setup!$B$5,COUNTIF(Roster!BP$7:BP$26,"?*")&gt;Setup!$B$6),"CLASH","OK"))</f>
        <v/>
      </c>
      <c r="BQ23" s="34" t="str">
        <f aca="false">IF(OR(Roster!$A23="",Roster!BQ23=""),"",IF(OR(COUNTIFS(Roster!$B$7:$B$26,Roster!$B23,Roster!BQ$7:BQ$26,"?*")&gt;Setup!$B$5,COUNTIF(Roster!BQ$7:BQ$26,"?*")&gt;Setup!$B$6),"CLASH","OK"))</f>
        <v/>
      </c>
      <c r="BR23" s="34" t="str">
        <f aca="false">IF(OR(Roster!$A23="",Roster!BR23=""),"",IF(OR(COUNTIFS(Roster!$B$7:$B$26,Roster!$B23,Roster!BR$7:BR$26,"?*")&gt;Setup!$B$5,COUNTIF(Roster!BR$7:BR$26,"?*")&gt;Setup!$B$6),"CLASH","OK"))</f>
        <v/>
      </c>
      <c r="BS23" s="34" t="str">
        <f aca="false">IF(OR(Roster!$A23="",Roster!BS23=""),"",IF(OR(COUNTIFS(Roster!$B$7:$B$26,Roster!$B23,Roster!BS$7:BS$26,"?*")&gt;Setup!$B$5,COUNTIF(Roster!BS$7:BS$26,"?*")&gt;Setup!$B$6),"CLASH","OK"))</f>
        <v/>
      </c>
      <c r="BT23" s="34" t="str">
        <f aca="false">IF(OR(Roster!$A23="",Roster!BT23=""),"",IF(OR(COUNTIFS(Roster!$B$7:$B$26,Roster!$B23,Roster!BT$7:BT$26,"?*")&gt;Setup!$B$5,COUNTIF(Roster!BT$7:BT$26,"?*")&gt;Setup!$B$6),"CLASH","OK"))</f>
        <v/>
      </c>
      <c r="BU23" s="34" t="str">
        <f aca="false">IF(OR(Roster!$A23="",Roster!BU23=""),"",IF(OR(COUNTIFS(Roster!$B$7:$B$26,Roster!$B23,Roster!BU$7:BU$26,"?*")&gt;Setup!$B$5,COUNTIF(Roster!BU$7:BU$26,"?*")&gt;Setup!$B$6),"CLASH","OK"))</f>
        <v/>
      </c>
      <c r="BV23" s="34" t="str">
        <f aca="false">IF(OR(Roster!$A23="",Roster!BV23=""),"",IF(OR(COUNTIFS(Roster!$B$7:$B$26,Roster!$B23,Roster!BV$7:BV$26,"?*")&gt;Setup!$B$5,COUNTIF(Roster!BV$7:BV$26,"?*")&gt;Setup!$B$6),"CLASH","OK"))</f>
        <v/>
      </c>
      <c r="BW23" s="34" t="str">
        <f aca="false">IF(OR(Roster!$A23="",Roster!BW23=""),"",IF(OR(COUNTIFS(Roster!$B$7:$B$26,Roster!$B23,Roster!BW$7:BW$26,"?*")&gt;Setup!$B$5,COUNTIF(Roster!BW$7:BW$26,"?*")&gt;Setup!$B$6),"CLASH","OK"))</f>
        <v/>
      </c>
      <c r="BX23" s="34" t="str">
        <f aca="false">IF(OR(Roster!$A23="",Roster!BX23=""),"",IF(OR(COUNTIFS(Roster!$B$7:$B$26,Roster!$B23,Roster!BX$7:BX$26,"?*")&gt;Setup!$B$5,COUNTIF(Roster!BX$7:BX$26,"?*")&gt;Setup!$B$6),"CLASH","OK"))</f>
        <v/>
      </c>
      <c r="BY23" s="34" t="str">
        <f aca="false">IF(OR(Roster!$A23="",Roster!BY23=""),"",IF(OR(COUNTIFS(Roster!$B$7:$B$26,Roster!$B23,Roster!BY$7:BY$26,"?*")&gt;Setup!$B$5,COUNTIF(Roster!BY$7:BY$26,"?*")&gt;Setup!$B$6),"CLASH","OK"))</f>
        <v/>
      </c>
      <c r="BZ23" s="34" t="str">
        <f aca="false">IF(OR(Roster!$A23="",Roster!BZ23=""),"",IF(OR(COUNTIFS(Roster!$B$7:$B$26,Roster!$B23,Roster!BZ$7:BZ$26,"?*")&gt;Setup!$B$5,COUNTIF(Roster!BZ$7:BZ$26,"?*")&gt;Setup!$B$6),"CLASH","OK"))</f>
        <v/>
      </c>
      <c r="CA23" s="34" t="str">
        <f aca="false">IF(OR(Roster!$A23="",Roster!CA23=""),"",IF(OR(COUNTIFS(Roster!$B$7:$B$26,Roster!$B23,Roster!CA$7:CA$26,"?*")&gt;Setup!$B$5,COUNTIF(Roster!CA$7:CA$26,"?*")&gt;Setup!$B$6),"CLASH","OK"))</f>
        <v/>
      </c>
      <c r="CB23" s="34" t="str">
        <f aca="false">IF(OR(Roster!$A23="",Roster!CB23=""),"",IF(OR(COUNTIFS(Roster!$B$7:$B$26,Roster!$B23,Roster!CB$7:CB$26,"?*")&gt;Setup!$B$5,COUNTIF(Roster!CB$7:CB$26,"?*")&gt;Setup!$B$6),"CLASH","OK"))</f>
        <v/>
      </c>
      <c r="CC23" s="34" t="str">
        <f aca="false">IF(OR(Roster!$A23="",Roster!CC23=""),"",IF(OR(COUNTIFS(Roster!$B$7:$B$26,Roster!$B23,Roster!CC$7:CC$26,"?*")&gt;Setup!$B$5,COUNTIF(Roster!CC$7:CC$26,"?*")&gt;Setup!$B$6),"CLASH","OK"))</f>
        <v/>
      </c>
      <c r="CD23" s="34" t="str">
        <f aca="false">IF(OR(Roster!$A23="",Roster!CD23=""),"",IF(OR(COUNTIFS(Roster!$B$7:$B$26,Roster!$B23,Roster!CD$7:CD$26,"?*")&gt;Setup!$B$5,COUNTIF(Roster!CD$7:CD$26,"?*")&gt;Setup!$B$6),"CLASH","OK"))</f>
        <v/>
      </c>
      <c r="CE23" s="34" t="str">
        <f aca="false">IF(OR(Roster!$A23="",Roster!CE23=""),"",IF(OR(COUNTIFS(Roster!$B$7:$B$26,Roster!$B23,Roster!CE$7:CE$26,"?*")&gt;Setup!$B$5,COUNTIF(Roster!CE$7:CE$26,"?*")&gt;Setup!$B$6),"CLASH","OK"))</f>
        <v/>
      </c>
      <c r="CF23" s="34" t="str">
        <f aca="false">IF(OR(Roster!$A23="",Roster!CF23=""),"",IF(OR(COUNTIFS(Roster!$B$7:$B$26,Roster!$B23,Roster!CF$7:CF$26,"?*")&gt;Setup!$B$5,COUNTIF(Roster!CF$7:CF$26,"?*")&gt;Setup!$B$6),"CLASH","OK"))</f>
        <v/>
      </c>
      <c r="CG23" s="34" t="str">
        <f aca="false">IF(OR(Roster!$A23="",Roster!CG23=""),"",IF(OR(COUNTIFS(Roster!$B$7:$B$26,Roster!$B23,Roster!CG$7:CG$26,"?*")&gt;Setup!$B$5,COUNTIF(Roster!CG$7:CG$26,"?*")&gt;Setup!$B$6),"CLASH","OK"))</f>
        <v/>
      </c>
      <c r="CH23" s="34" t="str">
        <f aca="false">IF(OR(Roster!$A23="",Roster!CH23=""),"",IF(OR(COUNTIFS(Roster!$B$7:$B$26,Roster!$B23,Roster!CH$7:CH$26,"?*")&gt;Setup!$B$5,COUNTIF(Roster!CH$7:CH$26,"?*")&gt;Setup!$B$6),"CLASH","OK"))</f>
        <v/>
      </c>
      <c r="CI23" s="34" t="str">
        <f aca="false">IF(OR(Roster!$A23="",Roster!CI23=""),"",IF(OR(COUNTIFS(Roster!$B$7:$B$26,Roster!$B23,Roster!CI$7:CI$26,"?*")&gt;Setup!$B$5,COUNTIF(Roster!CI$7:CI$26,"?*")&gt;Setup!$B$6),"CLASH","OK"))</f>
        <v/>
      </c>
      <c r="CJ23" s="34" t="str">
        <f aca="false">IF(OR(Roster!$A23="",Roster!CJ23=""),"",IF(OR(COUNTIFS(Roster!$B$7:$B$26,Roster!$B23,Roster!CJ$7:CJ$26,"?*")&gt;Setup!$B$5,COUNTIF(Roster!CJ$7:CJ$26,"?*")&gt;Setup!$B$6),"CLASH","OK"))</f>
        <v/>
      </c>
      <c r="CK23" s="34" t="str">
        <f aca="false">IF(OR(Roster!$A23="",Roster!CK23=""),"",IF(OR(COUNTIFS(Roster!$B$7:$B$26,Roster!$B23,Roster!CK$7:CK$26,"?*")&gt;Setup!$B$5,COUNTIF(Roster!CK$7:CK$26,"?*")&gt;Setup!$B$6),"CLASH","OK"))</f>
        <v/>
      </c>
      <c r="CL23" s="34" t="str">
        <f aca="false">IF(OR(Roster!$A23="",Roster!CL23=""),"",IF(OR(COUNTIFS(Roster!$B$7:$B$26,Roster!$B23,Roster!CL$7:CL$26,"?*")&gt;Setup!$B$5,COUNTIF(Roster!CL$7:CL$26,"?*")&gt;Setup!$B$6),"CLASH","OK"))</f>
        <v/>
      </c>
      <c r="CM23" s="34" t="str">
        <f aca="false">IF(OR(Roster!$A23="",Roster!CM23=""),"",IF(OR(COUNTIFS(Roster!$B$7:$B$26,Roster!$B23,Roster!CM$7:CM$26,"?*")&gt;Setup!$B$5,COUNTIF(Roster!CM$7:CM$26,"?*")&gt;Setup!$B$6),"CLASH","OK"))</f>
        <v/>
      </c>
      <c r="CN23" s="34" t="str">
        <f aca="false">IF(OR(Roster!$A23="",Roster!CN23=""),"",IF(OR(COUNTIFS(Roster!$B$7:$B$26,Roster!$B23,Roster!CN$7:CN$26,"?*")&gt;Setup!$B$5,COUNTIF(Roster!CN$7:CN$26,"?*")&gt;Setup!$B$6),"CLASH","OK"))</f>
        <v/>
      </c>
      <c r="CO23" s="34" t="str">
        <f aca="false">IF(OR(Roster!$A23="",Roster!CO23=""),"",IF(OR(COUNTIFS(Roster!$B$7:$B$26,Roster!$B23,Roster!CO$7:CO$26,"?*")&gt;Setup!$B$5,COUNTIF(Roster!CO$7:CO$26,"?*")&gt;Setup!$B$6),"CLASH","OK"))</f>
        <v/>
      </c>
      <c r="CP23" s="34" t="str">
        <f aca="false">IF(OR(Roster!$A23="",Roster!CP23=""),"",IF(OR(COUNTIFS(Roster!$B$7:$B$26,Roster!$B23,Roster!CP$7:CP$26,"?*")&gt;Setup!$B$5,COUNTIF(Roster!CP$7:CP$26,"?*")&gt;Setup!$B$6),"CLASH","OK"))</f>
        <v/>
      </c>
      <c r="CQ23" s="34" t="str">
        <f aca="false">IF(OR(Roster!$A23="",Roster!CQ23=""),"",IF(OR(COUNTIFS(Roster!$B$7:$B$26,Roster!$B23,Roster!CQ$7:CQ$26,"?*")&gt;Setup!$B$5,COUNTIF(Roster!CQ$7:CQ$26,"?*")&gt;Setup!$B$6),"CLASH","OK"))</f>
        <v/>
      </c>
      <c r="CR23" s="34" t="str">
        <f aca="false">IF(OR(Roster!$A23="",Roster!CR23=""),"",IF(OR(COUNTIFS(Roster!$B$7:$B$26,Roster!$B23,Roster!CR$7:CR$26,"?*")&gt;Setup!$B$5,COUNTIF(Roster!CR$7:CR$26,"?*")&gt;Setup!$B$6),"CLASH","OK"))</f>
        <v/>
      </c>
      <c r="CS23" s="34" t="str">
        <f aca="false">IF(OR(Roster!$A23="",Roster!CS23=""),"",IF(OR(COUNTIFS(Roster!$B$7:$B$26,Roster!$B23,Roster!CS$7:CS$26,"?*")&gt;Setup!$B$5,COUNTIF(Roster!CS$7:CS$26,"?*")&gt;Setup!$B$6),"CLASH","OK"))</f>
        <v/>
      </c>
      <c r="CT23" s="34" t="str">
        <f aca="false">IF(OR(Roster!$A23="",Roster!CT23=""),"",IF(OR(COUNTIFS(Roster!$B$7:$B$26,Roster!$B23,Roster!CT$7:CT$26,"?*")&gt;Setup!$B$5,COUNTIF(Roster!CT$7:CT$26,"?*")&gt;Setup!$B$6),"CLASH","OK"))</f>
        <v/>
      </c>
      <c r="CU23" s="34" t="str">
        <f aca="false">IF(OR(Roster!$A23="",Roster!CU23=""),"",IF(OR(COUNTIFS(Roster!$B$7:$B$26,Roster!$B23,Roster!CU$7:CU$26,"?*")&gt;Setup!$B$5,COUNTIF(Roster!CU$7:CU$26,"?*")&gt;Setup!$B$6),"CLASH","OK"))</f>
        <v/>
      </c>
    </row>
    <row r="24" customFormat="false" ht="15" hidden="false" customHeight="false" outlineLevel="0" collapsed="false">
      <c r="A24" s="33" t="str">
        <f aca="false">IF(Roster!A24="","",Roster!A24)</f>
        <v/>
      </c>
      <c r="B24" s="33" t="str">
        <f aca="false">IF(Roster!A24="","",Roster!B24)</f>
        <v/>
      </c>
      <c r="H24" s="34" t="str">
        <f aca="false">IF(OR(Roster!$A24="",Roster!H24=""),"",IF(OR(COUNTIFS(Roster!$B$7:$B$26,Roster!$B24,Roster!H$7:H$26,"?*")&gt;Setup!$B$5,COUNTIF(Roster!H$7:H$26,"?*")&gt;Setup!$B$6),"CLASH","OK"))</f>
        <v/>
      </c>
      <c r="I24" s="34" t="str">
        <f aca="false">IF(OR(Roster!$A24="",Roster!I24=""),"",IF(OR(COUNTIFS(Roster!$B$7:$B$26,Roster!$B24,Roster!I$7:I$26,"?*")&gt;Setup!$B$5,COUNTIF(Roster!I$7:I$26,"?*")&gt;Setup!$B$6),"CLASH","OK"))</f>
        <v/>
      </c>
      <c r="J24" s="34" t="str">
        <f aca="false">IF(OR(Roster!$A24="",Roster!J24=""),"",IF(OR(COUNTIFS(Roster!$B$7:$B$26,Roster!$B24,Roster!J$7:J$26,"?*")&gt;Setup!$B$5,COUNTIF(Roster!J$7:J$26,"?*")&gt;Setup!$B$6),"CLASH","OK"))</f>
        <v/>
      </c>
      <c r="K24" s="34" t="str">
        <f aca="false">IF(OR(Roster!$A24="",Roster!K24=""),"",IF(OR(COUNTIFS(Roster!$B$7:$B$26,Roster!$B24,Roster!K$7:K$26,"?*")&gt;Setup!$B$5,COUNTIF(Roster!K$7:K$26,"?*")&gt;Setup!$B$6),"CLASH","OK"))</f>
        <v/>
      </c>
      <c r="L24" s="34" t="str">
        <f aca="false">IF(OR(Roster!$A24="",Roster!L24=""),"",IF(OR(COUNTIFS(Roster!$B$7:$B$26,Roster!$B24,Roster!L$7:L$26,"?*")&gt;Setup!$B$5,COUNTIF(Roster!L$7:L$26,"?*")&gt;Setup!$B$6),"CLASH","OK"))</f>
        <v/>
      </c>
      <c r="M24" s="34" t="str">
        <f aca="false">IF(OR(Roster!$A24="",Roster!M24=""),"",IF(OR(COUNTIFS(Roster!$B$7:$B$26,Roster!$B24,Roster!M$7:M$26,"?*")&gt;Setup!$B$5,COUNTIF(Roster!M$7:M$26,"?*")&gt;Setup!$B$6),"CLASH","OK"))</f>
        <v/>
      </c>
      <c r="N24" s="34" t="str">
        <f aca="false">IF(OR(Roster!$A24="",Roster!N24=""),"",IF(OR(COUNTIFS(Roster!$B$7:$B$26,Roster!$B24,Roster!N$7:N$26,"?*")&gt;Setup!$B$5,COUNTIF(Roster!N$7:N$26,"?*")&gt;Setup!$B$6),"CLASH","OK"))</f>
        <v/>
      </c>
      <c r="O24" s="34" t="str">
        <f aca="false">IF(OR(Roster!$A24="",Roster!O24=""),"",IF(OR(COUNTIFS(Roster!$B$7:$B$26,Roster!$B24,Roster!O$7:O$26,"?*")&gt;Setup!$B$5,COUNTIF(Roster!O$7:O$26,"?*")&gt;Setup!$B$6),"CLASH","OK"))</f>
        <v/>
      </c>
      <c r="P24" s="34" t="str">
        <f aca="false">IF(OR(Roster!$A24="",Roster!P24=""),"",IF(OR(COUNTIFS(Roster!$B$7:$B$26,Roster!$B24,Roster!P$7:P$26,"?*")&gt;Setup!$B$5,COUNTIF(Roster!P$7:P$26,"?*")&gt;Setup!$B$6),"CLASH","OK"))</f>
        <v/>
      </c>
      <c r="Q24" s="34" t="str">
        <f aca="false">IF(OR(Roster!$A24="",Roster!Q24=""),"",IF(OR(COUNTIFS(Roster!$B$7:$B$26,Roster!$B24,Roster!Q$7:Q$26,"?*")&gt;Setup!$B$5,COUNTIF(Roster!Q$7:Q$26,"?*")&gt;Setup!$B$6),"CLASH","OK"))</f>
        <v/>
      </c>
      <c r="R24" s="34" t="str">
        <f aca="false">IF(OR(Roster!$A24="",Roster!R24=""),"",IF(OR(COUNTIFS(Roster!$B$7:$B$26,Roster!$B24,Roster!R$7:R$26,"?*")&gt;Setup!$B$5,COUNTIF(Roster!R$7:R$26,"?*")&gt;Setup!$B$6),"CLASH","OK"))</f>
        <v/>
      </c>
      <c r="S24" s="34" t="str">
        <f aca="false">IF(OR(Roster!$A24="",Roster!S24=""),"",IF(OR(COUNTIFS(Roster!$B$7:$B$26,Roster!$B24,Roster!S$7:S$26,"?*")&gt;Setup!$B$5,COUNTIF(Roster!S$7:S$26,"?*")&gt;Setup!$B$6),"CLASH","OK"))</f>
        <v/>
      </c>
      <c r="T24" s="34" t="str">
        <f aca="false">IF(OR(Roster!$A24="",Roster!T24=""),"",IF(OR(COUNTIFS(Roster!$B$7:$B$26,Roster!$B24,Roster!T$7:T$26,"?*")&gt;Setup!$B$5,COUNTIF(Roster!T$7:T$26,"?*")&gt;Setup!$B$6),"CLASH","OK"))</f>
        <v/>
      </c>
      <c r="U24" s="34" t="str">
        <f aca="false">IF(OR(Roster!$A24="",Roster!U24=""),"",IF(OR(COUNTIFS(Roster!$B$7:$B$26,Roster!$B24,Roster!U$7:U$26,"?*")&gt;Setup!$B$5,COUNTIF(Roster!U$7:U$26,"?*")&gt;Setup!$B$6),"CLASH","OK"))</f>
        <v/>
      </c>
      <c r="V24" s="34" t="str">
        <f aca="false">IF(OR(Roster!$A24="",Roster!V24=""),"",IF(OR(COUNTIFS(Roster!$B$7:$B$26,Roster!$B24,Roster!V$7:V$26,"?*")&gt;Setup!$B$5,COUNTIF(Roster!V$7:V$26,"?*")&gt;Setup!$B$6),"CLASH","OK"))</f>
        <v/>
      </c>
      <c r="W24" s="34" t="str">
        <f aca="false">IF(OR(Roster!$A24="",Roster!W24=""),"",IF(OR(COUNTIFS(Roster!$B$7:$B$26,Roster!$B24,Roster!W$7:W$26,"?*")&gt;Setup!$B$5,COUNTIF(Roster!W$7:W$26,"?*")&gt;Setup!$B$6),"CLASH","OK"))</f>
        <v/>
      </c>
      <c r="X24" s="34" t="str">
        <f aca="false">IF(OR(Roster!$A24="",Roster!X24=""),"",IF(OR(COUNTIFS(Roster!$B$7:$B$26,Roster!$B24,Roster!X$7:X$26,"?*")&gt;Setup!$B$5,COUNTIF(Roster!X$7:X$26,"?*")&gt;Setup!$B$6),"CLASH","OK"))</f>
        <v/>
      </c>
      <c r="Y24" s="34" t="str">
        <f aca="false">IF(OR(Roster!$A24="",Roster!Y24=""),"",IF(OR(COUNTIFS(Roster!$B$7:$B$26,Roster!$B24,Roster!Y$7:Y$26,"?*")&gt;Setup!$B$5,COUNTIF(Roster!Y$7:Y$26,"?*")&gt;Setup!$B$6),"CLASH","OK"))</f>
        <v/>
      </c>
      <c r="Z24" s="34" t="str">
        <f aca="false">IF(OR(Roster!$A24="",Roster!Z24=""),"",IF(OR(COUNTIFS(Roster!$B$7:$B$26,Roster!$B24,Roster!Z$7:Z$26,"?*")&gt;Setup!$B$5,COUNTIF(Roster!Z$7:Z$26,"?*")&gt;Setup!$B$6),"CLASH","OK"))</f>
        <v/>
      </c>
      <c r="AA24" s="34" t="str">
        <f aca="false">IF(OR(Roster!$A24="",Roster!AA24=""),"",IF(OR(COUNTIFS(Roster!$B$7:$B$26,Roster!$B24,Roster!AA$7:AA$26,"?*")&gt;Setup!$B$5,COUNTIF(Roster!AA$7:AA$26,"?*")&gt;Setup!$B$6),"CLASH","OK"))</f>
        <v/>
      </c>
      <c r="AB24" s="34" t="str">
        <f aca="false">IF(OR(Roster!$A24="",Roster!AB24=""),"",IF(OR(COUNTIFS(Roster!$B$7:$B$26,Roster!$B24,Roster!AB$7:AB$26,"?*")&gt;Setup!$B$5,COUNTIF(Roster!AB$7:AB$26,"?*")&gt;Setup!$B$6),"CLASH","OK"))</f>
        <v/>
      </c>
      <c r="AC24" s="34" t="str">
        <f aca="false">IF(OR(Roster!$A24="",Roster!AC24=""),"",IF(OR(COUNTIFS(Roster!$B$7:$B$26,Roster!$B24,Roster!AC$7:AC$26,"?*")&gt;Setup!$B$5,COUNTIF(Roster!AC$7:AC$26,"?*")&gt;Setup!$B$6),"CLASH","OK"))</f>
        <v/>
      </c>
      <c r="AD24" s="34" t="str">
        <f aca="false">IF(OR(Roster!$A24="",Roster!AD24=""),"",IF(OR(COUNTIFS(Roster!$B$7:$B$26,Roster!$B24,Roster!AD$7:AD$26,"?*")&gt;Setup!$B$5,COUNTIF(Roster!AD$7:AD$26,"?*")&gt;Setup!$B$6),"CLASH","OK"))</f>
        <v/>
      </c>
      <c r="AE24" s="34" t="str">
        <f aca="false">IF(OR(Roster!$A24="",Roster!AE24=""),"",IF(OR(COUNTIFS(Roster!$B$7:$B$26,Roster!$B24,Roster!AE$7:AE$26,"?*")&gt;Setup!$B$5,COUNTIF(Roster!AE$7:AE$26,"?*")&gt;Setup!$B$6),"CLASH","OK"))</f>
        <v/>
      </c>
      <c r="AF24" s="34" t="str">
        <f aca="false">IF(OR(Roster!$A24="",Roster!AF24=""),"",IF(OR(COUNTIFS(Roster!$B$7:$B$26,Roster!$B24,Roster!AF$7:AF$26,"?*")&gt;Setup!$B$5,COUNTIF(Roster!AF$7:AF$26,"?*")&gt;Setup!$B$6),"CLASH","OK"))</f>
        <v/>
      </c>
      <c r="AG24" s="34" t="str">
        <f aca="false">IF(OR(Roster!$A24="",Roster!AG24=""),"",IF(OR(COUNTIFS(Roster!$B$7:$B$26,Roster!$B24,Roster!AG$7:AG$26,"?*")&gt;Setup!$B$5,COUNTIF(Roster!AG$7:AG$26,"?*")&gt;Setup!$B$6),"CLASH","OK"))</f>
        <v/>
      </c>
      <c r="AH24" s="34" t="str">
        <f aca="false">IF(OR(Roster!$A24="",Roster!AH24=""),"",IF(OR(COUNTIFS(Roster!$B$7:$B$26,Roster!$B24,Roster!AH$7:AH$26,"?*")&gt;Setup!$B$5,COUNTIF(Roster!AH$7:AH$26,"?*")&gt;Setup!$B$6),"CLASH","OK"))</f>
        <v/>
      </c>
      <c r="AI24" s="34" t="str">
        <f aca="false">IF(OR(Roster!$A24="",Roster!AI24=""),"",IF(OR(COUNTIFS(Roster!$B$7:$B$26,Roster!$B24,Roster!AI$7:AI$26,"?*")&gt;Setup!$B$5,COUNTIF(Roster!AI$7:AI$26,"?*")&gt;Setup!$B$6),"CLASH","OK"))</f>
        <v/>
      </c>
      <c r="AJ24" s="34" t="str">
        <f aca="false">IF(OR(Roster!$A24="",Roster!AJ24=""),"",IF(OR(COUNTIFS(Roster!$B$7:$B$26,Roster!$B24,Roster!AJ$7:AJ$26,"?*")&gt;Setup!$B$5,COUNTIF(Roster!AJ$7:AJ$26,"?*")&gt;Setup!$B$6),"CLASH","OK"))</f>
        <v/>
      </c>
      <c r="AK24" s="34" t="str">
        <f aca="false">IF(OR(Roster!$A24="",Roster!AK24=""),"",IF(OR(COUNTIFS(Roster!$B$7:$B$26,Roster!$B24,Roster!AK$7:AK$26,"?*")&gt;Setup!$B$5,COUNTIF(Roster!AK$7:AK$26,"?*")&gt;Setup!$B$6),"CLASH","OK"))</f>
        <v/>
      </c>
      <c r="AL24" s="34" t="str">
        <f aca="false">IF(OR(Roster!$A24="",Roster!AL24=""),"",IF(OR(COUNTIFS(Roster!$B$7:$B$26,Roster!$B24,Roster!AL$7:AL$26,"?*")&gt;Setup!$B$5,COUNTIF(Roster!AL$7:AL$26,"?*")&gt;Setup!$B$6),"CLASH","OK"))</f>
        <v/>
      </c>
      <c r="AM24" s="34" t="str">
        <f aca="false">IF(OR(Roster!$A24="",Roster!AM24=""),"",IF(OR(COUNTIFS(Roster!$B$7:$B$26,Roster!$B24,Roster!AM$7:AM$26,"?*")&gt;Setup!$B$5,COUNTIF(Roster!AM$7:AM$26,"?*")&gt;Setup!$B$6),"CLASH","OK"))</f>
        <v/>
      </c>
      <c r="AN24" s="34" t="str">
        <f aca="false">IF(OR(Roster!$A24="",Roster!AN24=""),"",IF(OR(COUNTIFS(Roster!$B$7:$B$26,Roster!$B24,Roster!AN$7:AN$26,"?*")&gt;Setup!$B$5,COUNTIF(Roster!AN$7:AN$26,"?*")&gt;Setup!$B$6),"CLASH","OK"))</f>
        <v/>
      </c>
      <c r="AO24" s="34" t="str">
        <f aca="false">IF(OR(Roster!$A24="",Roster!AO24=""),"",IF(OR(COUNTIFS(Roster!$B$7:$B$26,Roster!$B24,Roster!AO$7:AO$26,"?*")&gt;Setup!$B$5,COUNTIF(Roster!AO$7:AO$26,"?*")&gt;Setup!$B$6),"CLASH","OK"))</f>
        <v/>
      </c>
      <c r="AP24" s="34" t="str">
        <f aca="false">IF(OR(Roster!$A24="",Roster!AP24=""),"",IF(OR(COUNTIFS(Roster!$B$7:$B$26,Roster!$B24,Roster!AP$7:AP$26,"?*")&gt;Setup!$B$5,COUNTIF(Roster!AP$7:AP$26,"?*")&gt;Setup!$B$6),"CLASH","OK"))</f>
        <v/>
      </c>
      <c r="AQ24" s="34" t="str">
        <f aca="false">IF(OR(Roster!$A24="",Roster!AQ24=""),"",IF(OR(COUNTIFS(Roster!$B$7:$B$26,Roster!$B24,Roster!AQ$7:AQ$26,"?*")&gt;Setup!$B$5,COUNTIF(Roster!AQ$7:AQ$26,"?*")&gt;Setup!$B$6),"CLASH","OK"))</f>
        <v/>
      </c>
      <c r="AR24" s="34" t="str">
        <f aca="false">IF(OR(Roster!$A24="",Roster!AR24=""),"",IF(OR(COUNTIFS(Roster!$B$7:$B$26,Roster!$B24,Roster!AR$7:AR$26,"?*")&gt;Setup!$B$5,COUNTIF(Roster!AR$7:AR$26,"?*")&gt;Setup!$B$6),"CLASH","OK"))</f>
        <v/>
      </c>
      <c r="AS24" s="34" t="str">
        <f aca="false">IF(OR(Roster!$A24="",Roster!AS24=""),"",IF(OR(COUNTIFS(Roster!$B$7:$B$26,Roster!$B24,Roster!AS$7:AS$26,"?*")&gt;Setup!$B$5,COUNTIF(Roster!AS$7:AS$26,"?*")&gt;Setup!$B$6),"CLASH","OK"))</f>
        <v/>
      </c>
      <c r="AT24" s="34" t="str">
        <f aca="false">IF(OR(Roster!$A24="",Roster!AT24=""),"",IF(OR(COUNTIFS(Roster!$B$7:$B$26,Roster!$B24,Roster!AT$7:AT$26,"?*")&gt;Setup!$B$5,COUNTIF(Roster!AT$7:AT$26,"?*")&gt;Setup!$B$6),"CLASH","OK"))</f>
        <v/>
      </c>
      <c r="AU24" s="34" t="str">
        <f aca="false">IF(OR(Roster!$A24="",Roster!AU24=""),"",IF(OR(COUNTIFS(Roster!$B$7:$B$26,Roster!$B24,Roster!AU$7:AU$26,"?*")&gt;Setup!$B$5,COUNTIF(Roster!AU$7:AU$26,"?*")&gt;Setup!$B$6),"CLASH","OK"))</f>
        <v/>
      </c>
      <c r="AV24" s="34" t="str">
        <f aca="false">IF(OR(Roster!$A24="",Roster!AV24=""),"",IF(OR(COUNTIFS(Roster!$B$7:$B$26,Roster!$B24,Roster!AV$7:AV$26,"?*")&gt;Setup!$B$5,COUNTIF(Roster!AV$7:AV$26,"?*")&gt;Setup!$B$6),"CLASH","OK"))</f>
        <v/>
      </c>
      <c r="AW24" s="34" t="str">
        <f aca="false">IF(OR(Roster!$A24="",Roster!AW24=""),"",IF(OR(COUNTIFS(Roster!$B$7:$B$26,Roster!$B24,Roster!AW$7:AW$26,"?*")&gt;Setup!$B$5,COUNTIF(Roster!AW$7:AW$26,"?*")&gt;Setup!$B$6),"CLASH","OK"))</f>
        <v/>
      </c>
      <c r="AX24" s="34" t="str">
        <f aca="false">IF(OR(Roster!$A24="",Roster!AX24=""),"",IF(OR(COUNTIFS(Roster!$B$7:$B$26,Roster!$B24,Roster!AX$7:AX$26,"?*")&gt;Setup!$B$5,COUNTIF(Roster!AX$7:AX$26,"?*")&gt;Setup!$B$6),"CLASH","OK"))</f>
        <v/>
      </c>
      <c r="AY24" s="34" t="str">
        <f aca="false">IF(OR(Roster!$A24="",Roster!AY24=""),"",IF(OR(COUNTIFS(Roster!$B$7:$B$26,Roster!$B24,Roster!AY$7:AY$26,"?*")&gt;Setup!$B$5,COUNTIF(Roster!AY$7:AY$26,"?*")&gt;Setup!$B$6),"CLASH","OK"))</f>
        <v/>
      </c>
      <c r="AZ24" s="34" t="str">
        <f aca="false">IF(OR(Roster!$A24="",Roster!AZ24=""),"",IF(OR(COUNTIFS(Roster!$B$7:$B$26,Roster!$B24,Roster!AZ$7:AZ$26,"?*")&gt;Setup!$B$5,COUNTIF(Roster!AZ$7:AZ$26,"?*")&gt;Setup!$B$6),"CLASH","OK"))</f>
        <v/>
      </c>
      <c r="BA24" s="34" t="str">
        <f aca="false">IF(OR(Roster!$A24="",Roster!BA24=""),"",IF(OR(COUNTIFS(Roster!$B$7:$B$26,Roster!$B24,Roster!BA$7:BA$26,"?*")&gt;Setup!$B$5,COUNTIF(Roster!BA$7:BA$26,"?*")&gt;Setup!$B$6),"CLASH","OK"))</f>
        <v/>
      </c>
      <c r="BB24" s="34" t="str">
        <f aca="false">IF(OR(Roster!$A24="",Roster!BB24=""),"",IF(OR(COUNTIFS(Roster!$B$7:$B$26,Roster!$B24,Roster!BB$7:BB$26,"?*")&gt;Setup!$B$5,COUNTIF(Roster!BB$7:BB$26,"?*")&gt;Setup!$B$6),"CLASH","OK"))</f>
        <v/>
      </c>
      <c r="BC24" s="34" t="str">
        <f aca="false">IF(OR(Roster!$A24="",Roster!BC24=""),"",IF(OR(COUNTIFS(Roster!$B$7:$B$26,Roster!$B24,Roster!BC$7:BC$26,"?*")&gt;Setup!$B$5,COUNTIF(Roster!BC$7:BC$26,"?*")&gt;Setup!$B$6),"CLASH","OK"))</f>
        <v/>
      </c>
      <c r="BD24" s="34" t="str">
        <f aca="false">IF(OR(Roster!$A24="",Roster!BD24=""),"",IF(OR(COUNTIFS(Roster!$B$7:$B$26,Roster!$B24,Roster!BD$7:BD$26,"?*")&gt;Setup!$B$5,COUNTIF(Roster!BD$7:BD$26,"?*")&gt;Setup!$B$6),"CLASH","OK"))</f>
        <v/>
      </c>
      <c r="BE24" s="34" t="str">
        <f aca="false">IF(OR(Roster!$A24="",Roster!BE24=""),"",IF(OR(COUNTIFS(Roster!$B$7:$B$26,Roster!$B24,Roster!BE$7:BE$26,"?*")&gt;Setup!$B$5,COUNTIF(Roster!BE$7:BE$26,"?*")&gt;Setup!$B$6),"CLASH","OK"))</f>
        <v/>
      </c>
      <c r="BF24" s="34" t="str">
        <f aca="false">IF(OR(Roster!$A24="",Roster!BF24=""),"",IF(OR(COUNTIFS(Roster!$B$7:$B$26,Roster!$B24,Roster!BF$7:BF$26,"?*")&gt;Setup!$B$5,COUNTIF(Roster!BF$7:BF$26,"?*")&gt;Setup!$B$6),"CLASH","OK"))</f>
        <v/>
      </c>
      <c r="BG24" s="34" t="str">
        <f aca="false">IF(OR(Roster!$A24="",Roster!BG24=""),"",IF(OR(COUNTIFS(Roster!$B$7:$B$26,Roster!$B24,Roster!BG$7:BG$26,"?*")&gt;Setup!$B$5,COUNTIF(Roster!BG$7:BG$26,"?*")&gt;Setup!$B$6),"CLASH","OK"))</f>
        <v/>
      </c>
      <c r="BH24" s="34" t="str">
        <f aca="false">IF(OR(Roster!$A24="",Roster!BH24=""),"",IF(OR(COUNTIFS(Roster!$B$7:$B$26,Roster!$B24,Roster!BH$7:BH$26,"?*")&gt;Setup!$B$5,COUNTIF(Roster!BH$7:BH$26,"?*")&gt;Setup!$B$6),"CLASH","OK"))</f>
        <v/>
      </c>
      <c r="BI24" s="34" t="str">
        <f aca="false">IF(OR(Roster!$A24="",Roster!BI24=""),"",IF(OR(COUNTIFS(Roster!$B$7:$B$26,Roster!$B24,Roster!BI$7:BI$26,"?*")&gt;Setup!$B$5,COUNTIF(Roster!BI$7:BI$26,"?*")&gt;Setup!$B$6),"CLASH","OK"))</f>
        <v/>
      </c>
      <c r="BJ24" s="34" t="str">
        <f aca="false">IF(OR(Roster!$A24="",Roster!BJ24=""),"",IF(OR(COUNTIFS(Roster!$B$7:$B$26,Roster!$B24,Roster!BJ$7:BJ$26,"?*")&gt;Setup!$B$5,COUNTIF(Roster!BJ$7:BJ$26,"?*")&gt;Setup!$B$6),"CLASH","OK"))</f>
        <v/>
      </c>
      <c r="BK24" s="34" t="str">
        <f aca="false">IF(OR(Roster!$A24="",Roster!BK24=""),"",IF(OR(COUNTIFS(Roster!$B$7:$B$26,Roster!$B24,Roster!BK$7:BK$26,"?*")&gt;Setup!$B$5,COUNTIF(Roster!BK$7:BK$26,"?*")&gt;Setup!$B$6),"CLASH","OK"))</f>
        <v/>
      </c>
      <c r="BL24" s="34" t="str">
        <f aca="false">IF(OR(Roster!$A24="",Roster!BL24=""),"",IF(OR(COUNTIFS(Roster!$B$7:$B$26,Roster!$B24,Roster!BL$7:BL$26,"?*")&gt;Setup!$B$5,COUNTIF(Roster!BL$7:BL$26,"?*")&gt;Setup!$B$6),"CLASH","OK"))</f>
        <v/>
      </c>
      <c r="BM24" s="34" t="str">
        <f aca="false">IF(OR(Roster!$A24="",Roster!BM24=""),"",IF(OR(COUNTIFS(Roster!$B$7:$B$26,Roster!$B24,Roster!BM$7:BM$26,"?*")&gt;Setup!$B$5,COUNTIF(Roster!BM$7:BM$26,"?*")&gt;Setup!$B$6),"CLASH","OK"))</f>
        <v/>
      </c>
      <c r="BN24" s="34" t="str">
        <f aca="false">IF(OR(Roster!$A24="",Roster!BN24=""),"",IF(OR(COUNTIFS(Roster!$B$7:$B$26,Roster!$B24,Roster!BN$7:BN$26,"?*")&gt;Setup!$B$5,COUNTIF(Roster!BN$7:BN$26,"?*")&gt;Setup!$B$6),"CLASH","OK"))</f>
        <v/>
      </c>
      <c r="BO24" s="34" t="str">
        <f aca="false">IF(OR(Roster!$A24="",Roster!BO24=""),"",IF(OR(COUNTIFS(Roster!$B$7:$B$26,Roster!$B24,Roster!BO$7:BO$26,"?*")&gt;Setup!$B$5,COUNTIF(Roster!BO$7:BO$26,"?*")&gt;Setup!$B$6),"CLASH","OK"))</f>
        <v/>
      </c>
      <c r="BP24" s="34" t="str">
        <f aca="false">IF(OR(Roster!$A24="",Roster!BP24=""),"",IF(OR(COUNTIFS(Roster!$B$7:$B$26,Roster!$B24,Roster!BP$7:BP$26,"?*")&gt;Setup!$B$5,COUNTIF(Roster!BP$7:BP$26,"?*")&gt;Setup!$B$6),"CLASH","OK"))</f>
        <v/>
      </c>
      <c r="BQ24" s="34" t="str">
        <f aca="false">IF(OR(Roster!$A24="",Roster!BQ24=""),"",IF(OR(COUNTIFS(Roster!$B$7:$B$26,Roster!$B24,Roster!BQ$7:BQ$26,"?*")&gt;Setup!$B$5,COUNTIF(Roster!BQ$7:BQ$26,"?*")&gt;Setup!$B$6),"CLASH","OK"))</f>
        <v/>
      </c>
      <c r="BR24" s="34" t="str">
        <f aca="false">IF(OR(Roster!$A24="",Roster!BR24=""),"",IF(OR(COUNTIFS(Roster!$B$7:$B$26,Roster!$B24,Roster!BR$7:BR$26,"?*")&gt;Setup!$B$5,COUNTIF(Roster!BR$7:BR$26,"?*")&gt;Setup!$B$6),"CLASH","OK"))</f>
        <v/>
      </c>
      <c r="BS24" s="34" t="str">
        <f aca="false">IF(OR(Roster!$A24="",Roster!BS24=""),"",IF(OR(COUNTIFS(Roster!$B$7:$B$26,Roster!$B24,Roster!BS$7:BS$26,"?*")&gt;Setup!$B$5,COUNTIF(Roster!BS$7:BS$26,"?*")&gt;Setup!$B$6),"CLASH","OK"))</f>
        <v/>
      </c>
      <c r="BT24" s="34" t="str">
        <f aca="false">IF(OR(Roster!$A24="",Roster!BT24=""),"",IF(OR(COUNTIFS(Roster!$B$7:$B$26,Roster!$B24,Roster!BT$7:BT$26,"?*")&gt;Setup!$B$5,COUNTIF(Roster!BT$7:BT$26,"?*")&gt;Setup!$B$6),"CLASH","OK"))</f>
        <v/>
      </c>
      <c r="BU24" s="34" t="str">
        <f aca="false">IF(OR(Roster!$A24="",Roster!BU24=""),"",IF(OR(COUNTIFS(Roster!$B$7:$B$26,Roster!$B24,Roster!BU$7:BU$26,"?*")&gt;Setup!$B$5,COUNTIF(Roster!BU$7:BU$26,"?*")&gt;Setup!$B$6),"CLASH","OK"))</f>
        <v/>
      </c>
      <c r="BV24" s="34" t="str">
        <f aca="false">IF(OR(Roster!$A24="",Roster!BV24=""),"",IF(OR(COUNTIFS(Roster!$B$7:$B$26,Roster!$B24,Roster!BV$7:BV$26,"?*")&gt;Setup!$B$5,COUNTIF(Roster!BV$7:BV$26,"?*")&gt;Setup!$B$6),"CLASH","OK"))</f>
        <v/>
      </c>
      <c r="BW24" s="34" t="str">
        <f aca="false">IF(OR(Roster!$A24="",Roster!BW24=""),"",IF(OR(COUNTIFS(Roster!$B$7:$B$26,Roster!$B24,Roster!BW$7:BW$26,"?*")&gt;Setup!$B$5,COUNTIF(Roster!BW$7:BW$26,"?*")&gt;Setup!$B$6),"CLASH","OK"))</f>
        <v/>
      </c>
      <c r="BX24" s="34" t="str">
        <f aca="false">IF(OR(Roster!$A24="",Roster!BX24=""),"",IF(OR(COUNTIFS(Roster!$B$7:$B$26,Roster!$B24,Roster!BX$7:BX$26,"?*")&gt;Setup!$B$5,COUNTIF(Roster!BX$7:BX$26,"?*")&gt;Setup!$B$6),"CLASH","OK"))</f>
        <v/>
      </c>
      <c r="BY24" s="34" t="str">
        <f aca="false">IF(OR(Roster!$A24="",Roster!BY24=""),"",IF(OR(COUNTIFS(Roster!$B$7:$B$26,Roster!$B24,Roster!BY$7:BY$26,"?*")&gt;Setup!$B$5,COUNTIF(Roster!BY$7:BY$26,"?*")&gt;Setup!$B$6),"CLASH","OK"))</f>
        <v/>
      </c>
      <c r="BZ24" s="34" t="str">
        <f aca="false">IF(OR(Roster!$A24="",Roster!BZ24=""),"",IF(OR(COUNTIFS(Roster!$B$7:$B$26,Roster!$B24,Roster!BZ$7:BZ$26,"?*")&gt;Setup!$B$5,COUNTIF(Roster!BZ$7:BZ$26,"?*")&gt;Setup!$B$6),"CLASH","OK"))</f>
        <v/>
      </c>
      <c r="CA24" s="34" t="str">
        <f aca="false">IF(OR(Roster!$A24="",Roster!CA24=""),"",IF(OR(COUNTIFS(Roster!$B$7:$B$26,Roster!$B24,Roster!CA$7:CA$26,"?*")&gt;Setup!$B$5,COUNTIF(Roster!CA$7:CA$26,"?*")&gt;Setup!$B$6),"CLASH","OK"))</f>
        <v/>
      </c>
      <c r="CB24" s="34" t="str">
        <f aca="false">IF(OR(Roster!$A24="",Roster!CB24=""),"",IF(OR(COUNTIFS(Roster!$B$7:$B$26,Roster!$B24,Roster!CB$7:CB$26,"?*")&gt;Setup!$B$5,COUNTIF(Roster!CB$7:CB$26,"?*")&gt;Setup!$B$6),"CLASH","OK"))</f>
        <v/>
      </c>
      <c r="CC24" s="34" t="str">
        <f aca="false">IF(OR(Roster!$A24="",Roster!CC24=""),"",IF(OR(COUNTIFS(Roster!$B$7:$B$26,Roster!$B24,Roster!CC$7:CC$26,"?*")&gt;Setup!$B$5,COUNTIF(Roster!CC$7:CC$26,"?*")&gt;Setup!$B$6),"CLASH","OK"))</f>
        <v/>
      </c>
      <c r="CD24" s="34" t="str">
        <f aca="false">IF(OR(Roster!$A24="",Roster!CD24=""),"",IF(OR(COUNTIFS(Roster!$B$7:$B$26,Roster!$B24,Roster!CD$7:CD$26,"?*")&gt;Setup!$B$5,COUNTIF(Roster!CD$7:CD$26,"?*")&gt;Setup!$B$6),"CLASH","OK"))</f>
        <v/>
      </c>
      <c r="CE24" s="34" t="str">
        <f aca="false">IF(OR(Roster!$A24="",Roster!CE24=""),"",IF(OR(COUNTIFS(Roster!$B$7:$B$26,Roster!$B24,Roster!CE$7:CE$26,"?*")&gt;Setup!$B$5,COUNTIF(Roster!CE$7:CE$26,"?*")&gt;Setup!$B$6),"CLASH","OK"))</f>
        <v/>
      </c>
      <c r="CF24" s="34" t="str">
        <f aca="false">IF(OR(Roster!$A24="",Roster!CF24=""),"",IF(OR(COUNTIFS(Roster!$B$7:$B$26,Roster!$B24,Roster!CF$7:CF$26,"?*")&gt;Setup!$B$5,COUNTIF(Roster!CF$7:CF$26,"?*")&gt;Setup!$B$6),"CLASH","OK"))</f>
        <v/>
      </c>
      <c r="CG24" s="34" t="str">
        <f aca="false">IF(OR(Roster!$A24="",Roster!CG24=""),"",IF(OR(COUNTIFS(Roster!$B$7:$B$26,Roster!$B24,Roster!CG$7:CG$26,"?*")&gt;Setup!$B$5,COUNTIF(Roster!CG$7:CG$26,"?*")&gt;Setup!$B$6),"CLASH","OK"))</f>
        <v/>
      </c>
      <c r="CH24" s="34" t="str">
        <f aca="false">IF(OR(Roster!$A24="",Roster!CH24=""),"",IF(OR(COUNTIFS(Roster!$B$7:$B$26,Roster!$B24,Roster!CH$7:CH$26,"?*")&gt;Setup!$B$5,COUNTIF(Roster!CH$7:CH$26,"?*")&gt;Setup!$B$6),"CLASH","OK"))</f>
        <v/>
      </c>
      <c r="CI24" s="34" t="str">
        <f aca="false">IF(OR(Roster!$A24="",Roster!CI24=""),"",IF(OR(COUNTIFS(Roster!$B$7:$B$26,Roster!$B24,Roster!CI$7:CI$26,"?*")&gt;Setup!$B$5,COUNTIF(Roster!CI$7:CI$26,"?*")&gt;Setup!$B$6),"CLASH","OK"))</f>
        <v/>
      </c>
      <c r="CJ24" s="34" t="str">
        <f aca="false">IF(OR(Roster!$A24="",Roster!CJ24=""),"",IF(OR(COUNTIFS(Roster!$B$7:$B$26,Roster!$B24,Roster!CJ$7:CJ$26,"?*")&gt;Setup!$B$5,COUNTIF(Roster!CJ$7:CJ$26,"?*")&gt;Setup!$B$6),"CLASH","OK"))</f>
        <v/>
      </c>
      <c r="CK24" s="34" t="str">
        <f aca="false">IF(OR(Roster!$A24="",Roster!CK24=""),"",IF(OR(COUNTIFS(Roster!$B$7:$B$26,Roster!$B24,Roster!CK$7:CK$26,"?*")&gt;Setup!$B$5,COUNTIF(Roster!CK$7:CK$26,"?*")&gt;Setup!$B$6),"CLASH","OK"))</f>
        <v/>
      </c>
      <c r="CL24" s="34" t="str">
        <f aca="false">IF(OR(Roster!$A24="",Roster!CL24=""),"",IF(OR(COUNTIFS(Roster!$B$7:$B$26,Roster!$B24,Roster!CL$7:CL$26,"?*")&gt;Setup!$B$5,COUNTIF(Roster!CL$7:CL$26,"?*")&gt;Setup!$B$6),"CLASH","OK"))</f>
        <v/>
      </c>
      <c r="CM24" s="34" t="str">
        <f aca="false">IF(OR(Roster!$A24="",Roster!CM24=""),"",IF(OR(COUNTIFS(Roster!$B$7:$B$26,Roster!$B24,Roster!CM$7:CM$26,"?*")&gt;Setup!$B$5,COUNTIF(Roster!CM$7:CM$26,"?*")&gt;Setup!$B$6),"CLASH","OK"))</f>
        <v/>
      </c>
      <c r="CN24" s="34" t="str">
        <f aca="false">IF(OR(Roster!$A24="",Roster!CN24=""),"",IF(OR(COUNTIFS(Roster!$B$7:$B$26,Roster!$B24,Roster!CN$7:CN$26,"?*")&gt;Setup!$B$5,COUNTIF(Roster!CN$7:CN$26,"?*")&gt;Setup!$B$6),"CLASH","OK"))</f>
        <v/>
      </c>
      <c r="CO24" s="34" t="str">
        <f aca="false">IF(OR(Roster!$A24="",Roster!CO24=""),"",IF(OR(COUNTIFS(Roster!$B$7:$B$26,Roster!$B24,Roster!CO$7:CO$26,"?*")&gt;Setup!$B$5,COUNTIF(Roster!CO$7:CO$26,"?*")&gt;Setup!$B$6),"CLASH","OK"))</f>
        <v/>
      </c>
      <c r="CP24" s="34" t="str">
        <f aca="false">IF(OR(Roster!$A24="",Roster!CP24=""),"",IF(OR(COUNTIFS(Roster!$B$7:$B$26,Roster!$B24,Roster!CP$7:CP$26,"?*")&gt;Setup!$B$5,COUNTIF(Roster!CP$7:CP$26,"?*")&gt;Setup!$B$6),"CLASH","OK"))</f>
        <v/>
      </c>
      <c r="CQ24" s="34" t="str">
        <f aca="false">IF(OR(Roster!$A24="",Roster!CQ24=""),"",IF(OR(COUNTIFS(Roster!$B$7:$B$26,Roster!$B24,Roster!CQ$7:CQ$26,"?*")&gt;Setup!$B$5,COUNTIF(Roster!CQ$7:CQ$26,"?*")&gt;Setup!$B$6),"CLASH","OK"))</f>
        <v/>
      </c>
      <c r="CR24" s="34" t="str">
        <f aca="false">IF(OR(Roster!$A24="",Roster!CR24=""),"",IF(OR(COUNTIFS(Roster!$B$7:$B$26,Roster!$B24,Roster!CR$7:CR$26,"?*")&gt;Setup!$B$5,COUNTIF(Roster!CR$7:CR$26,"?*")&gt;Setup!$B$6),"CLASH","OK"))</f>
        <v/>
      </c>
      <c r="CS24" s="34" t="str">
        <f aca="false">IF(OR(Roster!$A24="",Roster!CS24=""),"",IF(OR(COUNTIFS(Roster!$B$7:$B$26,Roster!$B24,Roster!CS$7:CS$26,"?*")&gt;Setup!$B$5,COUNTIF(Roster!CS$7:CS$26,"?*")&gt;Setup!$B$6),"CLASH","OK"))</f>
        <v/>
      </c>
      <c r="CT24" s="34" t="str">
        <f aca="false">IF(OR(Roster!$A24="",Roster!CT24=""),"",IF(OR(COUNTIFS(Roster!$B$7:$B$26,Roster!$B24,Roster!CT$7:CT$26,"?*")&gt;Setup!$B$5,COUNTIF(Roster!CT$7:CT$26,"?*")&gt;Setup!$B$6),"CLASH","OK"))</f>
        <v/>
      </c>
      <c r="CU24" s="34" t="str">
        <f aca="false">IF(OR(Roster!$A24="",Roster!CU24=""),"",IF(OR(COUNTIFS(Roster!$B$7:$B$26,Roster!$B24,Roster!CU$7:CU$26,"?*")&gt;Setup!$B$5,COUNTIF(Roster!CU$7:CU$26,"?*")&gt;Setup!$B$6),"CLASH","OK"))</f>
        <v/>
      </c>
    </row>
    <row r="25" customFormat="false" ht="15" hidden="false" customHeight="false" outlineLevel="0" collapsed="false">
      <c r="A25" s="33" t="str">
        <f aca="false">IF(Roster!A25="","",Roster!A25)</f>
        <v/>
      </c>
      <c r="B25" s="33" t="str">
        <f aca="false">IF(Roster!A25="","",Roster!B25)</f>
        <v/>
      </c>
      <c r="H25" s="34" t="str">
        <f aca="false">IF(OR(Roster!$A25="",Roster!H25=""),"",IF(OR(COUNTIFS(Roster!$B$7:$B$26,Roster!$B25,Roster!H$7:H$26,"?*")&gt;Setup!$B$5,COUNTIF(Roster!H$7:H$26,"?*")&gt;Setup!$B$6),"CLASH","OK"))</f>
        <v/>
      </c>
      <c r="I25" s="34" t="str">
        <f aca="false">IF(OR(Roster!$A25="",Roster!I25=""),"",IF(OR(COUNTIFS(Roster!$B$7:$B$26,Roster!$B25,Roster!I$7:I$26,"?*")&gt;Setup!$B$5,COUNTIF(Roster!I$7:I$26,"?*")&gt;Setup!$B$6),"CLASH","OK"))</f>
        <v/>
      </c>
      <c r="J25" s="34" t="str">
        <f aca="false">IF(OR(Roster!$A25="",Roster!J25=""),"",IF(OR(COUNTIFS(Roster!$B$7:$B$26,Roster!$B25,Roster!J$7:J$26,"?*")&gt;Setup!$B$5,COUNTIF(Roster!J$7:J$26,"?*")&gt;Setup!$B$6),"CLASH","OK"))</f>
        <v/>
      </c>
      <c r="K25" s="34" t="str">
        <f aca="false">IF(OR(Roster!$A25="",Roster!K25=""),"",IF(OR(COUNTIFS(Roster!$B$7:$B$26,Roster!$B25,Roster!K$7:K$26,"?*")&gt;Setup!$B$5,COUNTIF(Roster!K$7:K$26,"?*")&gt;Setup!$B$6),"CLASH","OK"))</f>
        <v/>
      </c>
      <c r="L25" s="34" t="str">
        <f aca="false">IF(OR(Roster!$A25="",Roster!L25=""),"",IF(OR(COUNTIFS(Roster!$B$7:$B$26,Roster!$B25,Roster!L$7:L$26,"?*")&gt;Setup!$B$5,COUNTIF(Roster!L$7:L$26,"?*")&gt;Setup!$B$6),"CLASH","OK"))</f>
        <v/>
      </c>
      <c r="M25" s="34" t="str">
        <f aca="false">IF(OR(Roster!$A25="",Roster!M25=""),"",IF(OR(COUNTIFS(Roster!$B$7:$B$26,Roster!$B25,Roster!M$7:M$26,"?*")&gt;Setup!$B$5,COUNTIF(Roster!M$7:M$26,"?*")&gt;Setup!$B$6),"CLASH","OK"))</f>
        <v/>
      </c>
      <c r="N25" s="34" t="str">
        <f aca="false">IF(OR(Roster!$A25="",Roster!N25=""),"",IF(OR(COUNTIFS(Roster!$B$7:$B$26,Roster!$B25,Roster!N$7:N$26,"?*")&gt;Setup!$B$5,COUNTIF(Roster!N$7:N$26,"?*")&gt;Setup!$B$6),"CLASH","OK"))</f>
        <v/>
      </c>
      <c r="O25" s="34" t="str">
        <f aca="false">IF(OR(Roster!$A25="",Roster!O25=""),"",IF(OR(COUNTIFS(Roster!$B$7:$B$26,Roster!$B25,Roster!O$7:O$26,"?*")&gt;Setup!$B$5,COUNTIF(Roster!O$7:O$26,"?*")&gt;Setup!$B$6),"CLASH","OK"))</f>
        <v/>
      </c>
      <c r="P25" s="34" t="str">
        <f aca="false">IF(OR(Roster!$A25="",Roster!P25=""),"",IF(OR(COUNTIFS(Roster!$B$7:$B$26,Roster!$B25,Roster!P$7:P$26,"?*")&gt;Setup!$B$5,COUNTIF(Roster!P$7:P$26,"?*")&gt;Setup!$B$6),"CLASH","OK"))</f>
        <v/>
      </c>
      <c r="Q25" s="34" t="str">
        <f aca="false">IF(OR(Roster!$A25="",Roster!Q25=""),"",IF(OR(COUNTIFS(Roster!$B$7:$B$26,Roster!$B25,Roster!Q$7:Q$26,"?*")&gt;Setup!$B$5,COUNTIF(Roster!Q$7:Q$26,"?*")&gt;Setup!$B$6),"CLASH","OK"))</f>
        <v/>
      </c>
      <c r="R25" s="34" t="str">
        <f aca="false">IF(OR(Roster!$A25="",Roster!R25=""),"",IF(OR(COUNTIFS(Roster!$B$7:$B$26,Roster!$B25,Roster!R$7:R$26,"?*")&gt;Setup!$B$5,COUNTIF(Roster!R$7:R$26,"?*")&gt;Setup!$B$6),"CLASH","OK"))</f>
        <v/>
      </c>
      <c r="S25" s="34" t="str">
        <f aca="false">IF(OR(Roster!$A25="",Roster!S25=""),"",IF(OR(COUNTIFS(Roster!$B$7:$B$26,Roster!$B25,Roster!S$7:S$26,"?*")&gt;Setup!$B$5,COUNTIF(Roster!S$7:S$26,"?*")&gt;Setup!$B$6),"CLASH","OK"))</f>
        <v/>
      </c>
      <c r="T25" s="34" t="str">
        <f aca="false">IF(OR(Roster!$A25="",Roster!T25=""),"",IF(OR(COUNTIFS(Roster!$B$7:$B$26,Roster!$B25,Roster!T$7:T$26,"?*")&gt;Setup!$B$5,COUNTIF(Roster!T$7:T$26,"?*")&gt;Setup!$B$6),"CLASH","OK"))</f>
        <v/>
      </c>
      <c r="U25" s="34" t="str">
        <f aca="false">IF(OR(Roster!$A25="",Roster!U25=""),"",IF(OR(COUNTIFS(Roster!$B$7:$B$26,Roster!$B25,Roster!U$7:U$26,"?*")&gt;Setup!$B$5,COUNTIF(Roster!U$7:U$26,"?*")&gt;Setup!$B$6),"CLASH","OK"))</f>
        <v/>
      </c>
      <c r="V25" s="34" t="str">
        <f aca="false">IF(OR(Roster!$A25="",Roster!V25=""),"",IF(OR(COUNTIFS(Roster!$B$7:$B$26,Roster!$B25,Roster!V$7:V$26,"?*")&gt;Setup!$B$5,COUNTIF(Roster!V$7:V$26,"?*")&gt;Setup!$B$6),"CLASH","OK"))</f>
        <v/>
      </c>
      <c r="W25" s="34" t="str">
        <f aca="false">IF(OR(Roster!$A25="",Roster!W25=""),"",IF(OR(COUNTIFS(Roster!$B$7:$B$26,Roster!$B25,Roster!W$7:W$26,"?*")&gt;Setup!$B$5,COUNTIF(Roster!W$7:W$26,"?*")&gt;Setup!$B$6),"CLASH","OK"))</f>
        <v/>
      </c>
      <c r="X25" s="34" t="str">
        <f aca="false">IF(OR(Roster!$A25="",Roster!X25=""),"",IF(OR(COUNTIFS(Roster!$B$7:$B$26,Roster!$B25,Roster!X$7:X$26,"?*")&gt;Setup!$B$5,COUNTIF(Roster!X$7:X$26,"?*")&gt;Setup!$B$6),"CLASH","OK"))</f>
        <v/>
      </c>
      <c r="Y25" s="34" t="str">
        <f aca="false">IF(OR(Roster!$A25="",Roster!Y25=""),"",IF(OR(COUNTIFS(Roster!$B$7:$B$26,Roster!$B25,Roster!Y$7:Y$26,"?*")&gt;Setup!$B$5,COUNTIF(Roster!Y$7:Y$26,"?*")&gt;Setup!$B$6),"CLASH","OK"))</f>
        <v/>
      </c>
      <c r="Z25" s="34" t="str">
        <f aca="false">IF(OR(Roster!$A25="",Roster!Z25=""),"",IF(OR(COUNTIFS(Roster!$B$7:$B$26,Roster!$B25,Roster!Z$7:Z$26,"?*")&gt;Setup!$B$5,COUNTIF(Roster!Z$7:Z$26,"?*")&gt;Setup!$B$6),"CLASH","OK"))</f>
        <v/>
      </c>
      <c r="AA25" s="34" t="str">
        <f aca="false">IF(OR(Roster!$A25="",Roster!AA25=""),"",IF(OR(COUNTIFS(Roster!$B$7:$B$26,Roster!$B25,Roster!AA$7:AA$26,"?*")&gt;Setup!$B$5,COUNTIF(Roster!AA$7:AA$26,"?*")&gt;Setup!$B$6),"CLASH","OK"))</f>
        <v/>
      </c>
      <c r="AB25" s="34" t="str">
        <f aca="false">IF(OR(Roster!$A25="",Roster!AB25=""),"",IF(OR(COUNTIFS(Roster!$B$7:$B$26,Roster!$B25,Roster!AB$7:AB$26,"?*")&gt;Setup!$B$5,COUNTIF(Roster!AB$7:AB$26,"?*")&gt;Setup!$B$6),"CLASH","OK"))</f>
        <v/>
      </c>
      <c r="AC25" s="34" t="str">
        <f aca="false">IF(OR(Roster!$A25="",Roster!AC25=""),"",IF(OR(COUNTIFS(Roster!$B$7:$B$26,Roster!$B25,Roster!AC$7:AC$26,"?*")&gt;Setup!$B$5,COUNTIF(Roster!AC$7:AC$26,"?*")&gt;Setup!$B$6),"CLASH","OK"))</f>
        <v/>
      </c>
      <c r="AD25" s="34" t="str">
        <f aca="false">IF(OR(Roster!$A25="",Roster!AD25=""),"",IF(OR(COUNTIFS(Roster!$B$7:$B$26,Roster!$B25,Roster!AD$7:AD$26,"?*")&gt;Setup!$B$5,COUNTIF(Roster!AD$7:AD$26,"?*")&gt;Setup!$B$6),"CLASH","OK"))</f>
        <v/>
      </c>
      <c r="AE25" s="34" t="str">
        <f aca="false">IF(OR(Roster!$A25="",Roster!AE25=""),"",IF(OR(COUNTIFS(Roster!$B$7:$B$26,Roster!$B25,Roster!AE$7:AE$26,"?*")&gt;Setup!$B$5,COUNTIF(Roster!AE$7:AE$26,"?*")&gt;Setup!$B$6),"CLASH","OK"))</f>
        <v/>
      </c>
      <c r="AF25" s="34" t="str">
        <f aca="false">IF(OR(Roster!$A25="",Roster!AF25=""),"",IF(OR(COUNTIFS(Roster!$B$7:$B$26,Roster!$B25,Roster!AF$7:AF$26,"?*")&gt;Setup!$B$5,COUNTIF(Roster!AF$7:AF$26,"?*")&gt;Setup!$B$6),"CLASH","OK"))</f>
        <v/>
      </c>
      <c r="AG25" s="34" t="str">
        <f aca="false">IF(OR(Roster!$A25="",Roster!AG25=""),"",IF(OR(COUNTIFS(Roster!$B$7:$B$26,Roster!$B25,Roster!AG$7:AG$26,"?*")&gt;Setup!$B$5,COUNTIF(Roster!AG$7:AG$26,"?*")&gt;Setup!$B$6),"CLASH","OK"))</f>
        <v/>
      </c>
      <c r="AH25" s="34" t="str">
        <f aca="false">IF(OR(Roster!$A25="",Roster!AH25=""),"",IF(OR(COUNTIFS(Roster!$B$7:$B$26,Roster!$B25,Roster!AH$7:AH$26,"?*")&gt;Setup!$B$5,COUNTIF(Roster!AH$7:AH$26,"?*")&gt;Setup!$B$6),"CLASH","OK"))</f>
        <v/>
      </c>
      <c r="AI25" s="34" t="str">
        <f aca="false">IF(OR(Roster!$A25="",Roster!AI25=""),"",IF(OR(COUNTIFS(Roster!$B$7:$B$26,Roster!$B25,Roster!AI$7:AI$26,"?*")&gt;Setup!$B$5,COUNTIF(Roster!AI$7:AI$26,"?*")&gt;Setup!$B$6),"CLASH","OK"))</f>
        <v/>
      </c>
      <c r="AJ25" s="34" t="str">
        <f aca="false">IF(OR(Roster!$A25="",Roster!AJ25=""),"",IF(OR(COUNTIFS(Roster!$B$7:$B$26,Roster!$B25,Roster!AJ$7:AJ$26,"?*")&gt;Setup!$B$5,COUNTIF(Roster!AJ$7:AJ$26,"?*")&gt;Setup!$B$6),"CLASH","OK"))</f>
        <v/>
      </c>
      <c r="AK25" s="34" t="str">
        <f aca="false">IF(OR(Roster!$A25="",Roster!AK25=""),"",IF(OR(COUNTIFS(Roster!$B$7:$B$26,Roster!$B25,Roster!AK$7:AK$26,"?*")&gt;Setup!$B$5,COUNTIF(Roster!AK$7:AK$26,"?*")&gt;Setup!$B$6),"CLASH","OK"))</f>
        <v/>
      </c>
      <c r="AL25" s="34" t="str">
        <f aca="false">IF(OR(Roster!$A25="",Roster!AL25=""),"",IF(OR(COUNTIFS(Roster!$B$7:$B$26,Roster!$B25,Roster!AL$7:AL$26,"?*")&gt;Setup!$B$5,COUNTIF(Roster!AL$7:AL$26,"?*")&gt;Setup!$B$6),"CLASH","OK"))</f>
        <v/>
      </c>
      <c r="AM25" s="34" t="str">
        <f aca="false">IF(OR(Roster!$A25="",Roster!AM25=""),"",IF(OR(COUNTIFS(Roster!$B$7:$B$26,Roster!$B25,Roster!AM$7:AM$26,"?*")&gt;Setup!$B$5,COUNTIF(Roster!AM$7:AM$26,"?*")&gt;Setup!$B$6),"CLASH","OK"))</f>
        <v/>
      </c>
      <c r="AN25" s="34" t="str">
        <f aca="false">IF(OR(Roster!$A25="",Roster!AN25=""),"",IF(OR(COUNTIFS(Roster!$B$7:$B$26,Roster!$B25,Roster!AN$7:AN$26,"?*")&gt;Setup!$B$5,COUNTIF(Roster!AN$7:AN$26,"?*")&gt;Setup!$B$6),"CLASH","OK"))</f>
        <v/>
      </c>
      <c r="AO25" s="34" t="str">
        <f aca="false">IF(OR(Roster!$A25="",Roster!AO25=""),"",IF(OR(COUNTIFS(Roster!$B$7:$B$26,Roster!$B25,Roster!AO$7:AO$26,"?*")&gt;Setup!$B$5,COUNTIF(Roster!AO$7:AO$26,"?*")&gt;Setup!$B$6),"CLASH","OK"))</f>
        <v/>
      </c>
      <c r="AP25" s="34" t="str">
        <f aca="false">IF(OR(Roster!$A25="",Roster!AP25=""),"",IF(OR(COUNTIFS(Roster!$B$7:$B$26,Roster!$B25,Roster!AP$7:AP$26,"?*")&gt;Setup!$B$5,COUNTIF(Roster!AP$7:AP$26,"?*")&gt;Setup!$B$6),"CLASH","OK"))</f>
        <v/>
      </c>
      <c r="AQ25" s="34" t="str">
        <f aca="false">IF(OR(Roster!$A25="",Roster!AQ25=""),"",IF(OR(COUNTIFS(Roster!$B$7:$B$26,Roster!$B25,Roster!AQ$7:AQ$26,"?*")&gt;Setup!$B$5,COUNTIF(Roster!AQ$7:AQ$26,"?*")&gt;Setup!$B$6),"CLASH","OK"))</f>
        <v/>
      </c>
      <c r="AR25" s="34" t="str">
        <f aca="false">IF(OR(Roster!$A25="",Roster!AR25=""),"",IF(OR(COUNTIFS(Roster!$B$7:$B$26,Roster!$B25,Roster!AR$7:AR$26,"?*")&gt;Setup!$B$5,COUNTIF(Roster!AR$7:AR$26,"?*")&gt;Setup!$B$6),"CLASH","OK"))</f>
        <v/>
      </c>
      <c r="AS25" s="34" t="str">
        <f aca="false">IF(OR(Roster!$A25="",Roster!AS25=""),"",IF(OR(COUNTIFS(Roster!$B$7:$B$26,Roster!$B25,Roster!AS$7:AS$26,"?*")&gt;Setup!$B$5,COUNTIF(Roster!AS$7:AS$26,"?*")&gt;Setup!$B$6),"CLASH","OK"))</f>
        <v/>
      </c>
      <c r="AT25" s="34" t="str">
        <f aca="false">IF(OR(Roster!$A25="",Roster!AT25=""),"",IF(OR(COUNTIFS(Roster!$B$7:$B$26,Roster!$B25,Roster!AT$7:AT$26,"?*")&gt;Setup!$B$5,COUNTIF(Roster!AT$7:AT$26,"?*")&gt;Setup!$B$6),"CLASH","OK"))</f>
        <v/>
      </c>
      <c r="AU25" s="34" t="str">
        <f aca="false">IF(OR(Roster!$A25="",Roster!AU25=""),"",IF(OR(COUNTIFS(Roster!$B$7:$B$26,Roster!$B25,Roster!AU$7:AU$26,"?*")&gt;Setup!$B$5,COUNTIF(Roster!AU$7:AU$26,"?*")&gt;Setup!$B$6),"CLASH","OK"))</f>
        <v/>
      </c>
      <c r="AV25" s="34" t="str">
        <f aca="false">IF(OR(Roster!$A25="",Roster!AV25=""),"",IF(OR(COUNTIFS(Roster!$B$7:$B$26,Roster!$B25,Roster!AV$7:AV$26,"?*")&gt;Setup!$B$5,COUNTIF(Roster!AV$7:AV$26,"?*")&gt;Setup!$B$6),"CLASH","OK"))</f>
        <v/>
      </c>
      <c r="AW25" s="34" t="str">
        <f aca="false">IF(OR(Roster!$A25="",Roster!AW25=""),"",IF(OR(COUNTIFS(Roster!$B$7:$B$26,Roster!$B25,Roster!AW$7:AW$26,"?*")&gt;Setup!$B$5,COUNTIF(Roster!AW$7:AW$26,"?*")&gt;Setup!$B$6),"CLASH","OK"))</f>
        <v/>
      </c>
      <c r="AX25" s="34" t="str">
        <f aca="false">IF(OR(Roster!$A25="",Roster!AX25=""),"",IF(OR(COUNTIFS(Roster!$B$7:$B$26,Roster!$B25,Roster!AX$7:AX$26,"?*")&gt;Setup!$B$5,COUNTIF(Roster!AX$7:AX$26,"?*")&gt;Setup!$B$6),"CLASH","OK"))</f>
        <v/>
      </c>
      <c r="AY25" s="34" t="str">
        <f aca="false">IF(OR(Roster!$A25="",Roster!AY25=""),"",IF(OR(COUNTIFS(Roster!$B$7:$B$26,Roster!$B25,Roster!AY$7:AY$26,"?*")&gt;Setup!$B$5,COUNTIF(Roster!AY$7:AY$26,"?*")&gt;Setup!$B$6),"CLASH","OK"))</f>
        <v/>
      </c>
      <c r="AZ25" s="34" t="str">
        <f aca="false">IF(OR(Roster!$A25="",Roster!AZ25=""),"",IF(OR(COUNTIFS(Roster!$B$7:$B$26,Roster!$B25,Roster!AZ$7:AZ$26,"?*")&gt;Setup!$B$5,COUNTIF(Roster!AZ$7:AZ$26,"?*")&gt;Setup!$B$6),"CLASH","OK"))</f>
        <v/>
      </c>
      <c r="BA25" s="34" t="str">
        <f aca="false">IF(OR(Roster!$A25="",Roster!BA25=""),"",IF(OR(COUNTIFS(Roster!$B$7:$B$26,Roster!$B25,Roster!BA$7:BA$26,"?*")&gt;Setup!$B$5,COUNTIF(Roster!BA$7:BA$26,"?*")&gt;Setup!$B$6),"CLASH","OK"))</f>
        <v/>
      </c>
      <c r="BB25" s="34" t="str">
        <f aca="false">IF(OR(Roster!$A25="",Roster!BB25=""),"",IF(OR(COUNTIFS(Roster!$B$7:$B$26,Roster!$B25,Roster!BB$7:BB$26,"?*")&gt;Setup!$B$5,COUNTIF(Roster!BB$7:BB$26,"?*")&gt;Setup!$B$6),"CLASH","OK"))</f>
        <v/>
      </c>
      <c r="BC25" s="34" t="str">
        <f aca="false">IF(OR(Roster!$A25="",Roster!BC25=""),"",IF(OR(COUNTIFS(Roster!$B$7:$B$26,Roster!$B25,Roster!BC$7:BC$26,"?*")&gt;Setup!$B$5,COUNTIF(Roster!BC$7:BC$26,"?*")&gt;Setup!$B$6),"CLASH","OK"))</f>
        <v/>
      </c>
      <c r="BD25" s="34" t="str">
        <f aca="false">IF(OR(Roster!$A25="",Roster!BD25=""),"",IF(OR(COUNTIFS(Roster!$B$7:$B$26,Roster!$B25,Roster!BD$7:BD$26,"?*")&gt;Setup!$B$5,COUNTIF(Roster!BD$7:BD$26,"?*")&gt;Setup!$B$6),"CLASH","OK"))</f>
        <v/>
      </c>
      <c r="BE25" s="34" t="str">
        <f aca="false">IF(OR(Roster!$A25="",Roster!BE25=""),"",IF(OR(COUNTIFS(Roster!$B$7:$B$26,Roster!$B25,Roster!BE$7:BE$26,"?*")&gt;Setup!$B$5,COUNTIF(Roster!BE$7:BE$26,"?*")&gt;Setup!$B$6),"CLASH","OK"))</f>
        <v/>
      </c>
      <c r="BF25" s="34" t="str">
        <f aca="false">IF(OR(Roster!$A25="",Roster!BF25=""),"",IF(OR(COUNTIFS(Roster!$B$7:$B$26,Roster!$B25,Roster!BF$7:BF$26,"?*")&gt;Setup!$B$5,COUNTIF(Roster!BF$7:BF$26,"?*")&gt;Setup!$B$6),"CLASH","OK"))</f>
        <v/>
      </c>
      <c r="BG25" s="34" t="str">
        <f aca="false">IF(OR(Roster!$A25="",Roster!BG25=""),"",IF(OR(COUNTIFS(Roster!$B$7:$B$26,Roster!$B25,Roster!BG$7:BG$26,"?*")&gt;Setup!$B$5,COUNTIF(Roster!BG$7:BG$26,"?*")&gt;Setup!$B$6),"CLASH","OK"))</f>
        <v/>
      </c>
      <c r="BH25" s="34" t="str">
        <f aca="false">IF(OR(Roster!$A25="",Roster!BH25=""),"",IF(OR(COUNTIFS(Roster!$B$7:$B$26,Roster!$B25,Roster!BH$7:BH$26,"?*")&gt;Setup!$B$5,COUNTIF(Roster!BH$7:BH$26,"?*")&gt;Setup!$B$6),"CLASH","OK"))</f>
        <v/>
      </c>
      <c r="BI25" s="34" t="str">
        <f aca="false">IF(OR(Roster!$A25="",Roster!BI25=""),"",IF(OR(COUNTIFS(Roster!$B$7:$B$26,Roster!$B25,Roster!BI$7:BI$26,"?*")&gt;Setup!$B$5,COUNTIF(Roster!BI$7:BI$26,"?*")&gt;Setup!$B$6),"CLASH","OK"))</f>
        <v/>
      </c>
      <c r="BJ25" s="34" t="str">
        <f aca="false">IF(OR(Roster!$A25="",Roster!BJ25=""),"",IF(OR(COUNTIFS(Roster!$B$7:$B$26,Roster!$B25,Roster!BJ$7:BJ$26,"?*")&gt;Setup!$B$5,COUNTIF(Roster!BJ$7:BJ$26,"?*")&gt;Setup!$B$6),"CLASH","OK"))</f>
        <v/>
      </c>
      <c r="BK25" s="34" t="str">
        <f aca="false">IF(OR(Roster!$A25="",Roster!BK25=""),"",IF(OR(COUNTIFS(Roster!$B$7:$B$26,Roster!$B25,Roster!BK$7:BK$26,"?*")&gt;Setup!$B$5,COUNTIF(Roster!BK$7:BK$26,"?*")&gt;Setup!$B$6),"CLASH","OK"))</f>
        <v/>
      </c>
      <c r="BL25" s="34" t="str">
        <f aca="false">IF(OR(Roster!$A25="",Roster!BL25=""),"",IF(OR(COUNTIFS(Roster!$B$7:$B$26,Roster!$B25,Roster!BL$7:BL$26,"?*")&gt;Setup!$B$5,COUNTIF(Roster!BL$7:BL$26,"?*")&gt;Setup!$B$6),"CLASH","OK"))</f>
        <v/>
      </c>
      <c r="BM25" s="34" t="str">
        <f aca="false">IF(OR(Roster!$A25="",Roster!BM25=""),"",IF(OR(COUNTIFS(Roster!$B$7:$B$26,Roster!$B25,Roster!BM$7:BM$26,"?*")&gt;Setup!$B$5,COUNTIF(Roster!BM$7:BM$26,"?*")&gt;Setup!$B$6),"CLASH","OK"))</f>
        <v/>
      </c>
      <c r="BN25" s="34" t="str">
        <f aca="false">IF(OR(Roster!$A25="",Roster!BN25=""),"",IF(OR(COUNTIFS(Roster!$B$7:$B$26,Roster!$B25,Roster!BN$7:BN$26,"?*")&gt;Setup!$B$5,COUNTIF(Roster!BN$7:BN$26,"?*")&gt;Setup!$B$6),"CLASH","OK"))</f>
        <v/>
      </c>
      <c r="BO25" s="34" t="str">
        <f aca="false">IF(OR(Roster!$A25="",Roster!BO25=""),"",IF(OR(COUNTIFS(Roster!$B$7:$B$26,Roster!$B25,Roster!BO$7:BO$26,"?*")&gt;Setup!$B$5,COUNTIF(Roster!BO$7:BO$26,"?*")&gt;Setup!$B$6),"CLASH","OK"))</f>
        <v/>
      </c>
      <c r="BP25" s="34" t="str">
        <f aca="false">IF(OR(Roster!$A25="",Roster!BP25=""),"",IF(OR(COUNTIFS(Roster!$B$7:$B$26,Roster!$B25,Roster!BP$7:BP$26,"?*")&gt;Setup!$B$5,COUNTIF(Roster!BP$7:BP$26,"?*")&gt;Setup!$B$6),"CLASH","OK"))</f>
        <v/>
      </c>
      <c r="BQ25" s="34" t="str">
        <f aca="false">IF(OR(Roster!$A25="",Roster!BQ25=""),"",IF(OR(COUNTIFS(Roster!$B$7:$B$26,Roster!$B25,Roster!BQ$7:BQ$26,"?*")&gt;Setup!$B$5,COUNTIF(Roster!BQ$7:BQ$26,"?*")&gt;Setup!$B$6),"CLASH","OK"))</f>
        <v/>
      </c>
      <c r="BR25" s="34" t="str">
        <f aca="false">IF(OR(Roster!$A25="",Roster!BR25=""),"",IF(OR(COUNTIFS(Roster!$B$7:$B$26,Roster!$B25,Roster!BR$7:BR$26,"?*")&gt;Setup!$B$5,COUNTIF(Roster!BR$7:BR$26,"?*")&gt;Setup!$B$6),"CLASH","OK"))</f>
        <v/>
      </c>
      <c r="BS25" s="34" t="str">
        <f aca="false">IF(OR(Roster!$A25="",Roster!BS25=""),"",IF(OR(COUNTIFS(Roster!$B$7:$B$26,Roster!$B25,Roster!BS$7:BS$26,"?*")&gt;Setup!$B$5,COUNTIF(Roster!BS$7:BS$26,"?*")&gt;Setup!$B$6),"CLASH","OK"))</f>
        <v/>
      </c>
      <c r="BT25" s="34" t="str">
        <f aca="false">IF(OR(Roster!$A25="",Roster!BT25=""),"",IF(OR(COUNTIFS(Roster!$B$7:$B$26,Roster!$B25,Roster!BT$7:BT$26,"?*")&gt;Setup!$B$5,COUNTIF(Roster!BT$7:BT$26,"?*")&gt;Setup!$B$6),"CLASH","OK"))</f>
        <v/>
      </c>
      <c r="BU25" s="34" t="str">
        <f aca="false">IF(OR(Roster!$A25="",Roster!BU25=""),"",IF(OR(COUNTIFS(Roster!$B$7:$B$26,Roster!$B25,Roster!BU$7:BU$26,"?*")&gt;Setup!$B$5,COUNTIF(Roster!BU$7:BU$26,"?*")&gt;Setup!$B$6),"CLASH","OK"))</f>
        <v/>
      </c>
      <c r="BV25" s="34" t="str">
        <f aca="false">IF(OR(Roster!$A25="",Roster!BV25=""),"",IF(OR(COUNTIFS(Roster!$B$7:$B$26,Roster!$B25,Roster!BV$7:BV$26,"?*")&gt;Setup!$B$5,COUNTIF(Roster!BV$7:BV$26,"?*")&gt;Setup!$B$6),"CLASH","OK"))</f>
        <v/>
      </c>
      <c r="BW25" s="34" t="str">
        <f aca="false">IF(OR(Roster!$A25="",Roster!BW25=""),"",IF(OR(COUNTIFS(Roster!$B$7:$B$26,Roster!$B25,Roster!BW$7:BW$26,"?*")&gt;Setup!$B$5,COUNTIF(Roster!BW$7:BW$26,"?*")&gt;Setup!$B$6),"CLASH","OK"))</f>
        <v/>
      </c>
      <c r="BX25" s="34" t="str">
        <f aca="false">IF(OR(Roster!$A25="",Roster!BX25=""),"",IF(OR(COUNTIFS(Roster!$B$7:$B$26,Roster!$B25,Roster!BX$7:BX$26,"?*")&gt;Setup!$B$5,COUNTIF(Roster!BX$7:BX$26,"?*")&gt;Setup!$B$6),"CLASH","OK"))</f>
        <v/>
      </c>
      <c r="BY25" s="34" t="str">
        <f aca="false">IF(OR(Roster!$A25="",Roster!BY25=""),"",IF(OR(COUNTIFS(Roster!$B$7:$B$26,Roster!$B25,Roster!BY$7:BY$26,"?*")&gt;Setup!$B$5,COUNTIF(Roster!BY$7:BY$26,"?*")&gt;Setup!$B$6),"CLASH","OK"))</f>
        <v/>
      </c>
      <c r="BZ25" s="34" t="str">
        <f aca="false">IF(OR(Roster!$A25="",Roster!BZ25=""),"",IF(OR(COUNTIFS(Roster!$B$7:$B$26,Roster!$B25,Roster!BZ$7:BZ$26,"?*")&gt;Setup!$B$5,COUNTIF(Roster!BZ$7:BZ$26,"?*")&gt;Setup!$B$6),"CLASH","OK"))</f>
        <v/>
      </c>
      <c r="CA25" s="34" t="str">
        <f aca="false">IF(OR(Roster!$A25="",Roster!CA25=""),"",IF(OR(COUNTIFS(Roster!$B$7:$B$26,Roster!$B25,Roster!CA$7:CA$26,"?*")&gt;Setup!$B$5,COUNTIF(Roster!CA$7:CA$26,"?*")&gt;Setup!$B$6),"CLASH","OK"))</f>
        <v/>
      </c>
      <c r="CB25" s="34" t="str">
        <f aca="false">IF(OR(Roster!$A25="",Roster!CB25=""),"",IF(OR(COUNTIFS(Roster!$B$7:$B$26,Roster!$B25,Roster!CB$7:CB$26,"?*")&gt;Setup!$B$5,COUNTIF(Roster!CB$7:CB$26,"?*")&gt;Setup!$B$6),"CLASH","OK"))</f>
        <v/>
      </c>
      <c r="CC25" s="34" t="str">
        <f aca="false">IF(OR(Roster!$A25="",Roster!CC25=""),"",IF(OR(COUNTIFS(Roster!$B$7:$B$26,Roster!$B25,Roster!CC$7:CC$26,"?*")&gt;Setup!$B$5,COUNTIF(Roster!CC$7:CC$26,"?*")&gt;Setup!$B$6),"CLASH","OK"))</f>
        <v/>
      </c>
      <c r="CD25" s="34" t="str">
        <f aca="false">IF(OR(Roster!$A25="",Roster!CD25=""),"",IF(OR(COUNTIFS(Roster!$B$7:$B$26,Roster!$B25,Roster!CD$7:CD$26,"?*")&gt;Setup!$B$5,COUNTIF(Roster!CD$7:CD$26,"?*")&gt;Setup!$B$6),"CLASH","OK"))</f>
        <v/>
      </c>
      <c r="CE25" s="34" t="str">
        <f aca="false">IF(OR(Roster!$A25="",Roster!CE25=""),"",IF(OR(COUNTIFS(Roster!$B$7:$B$26,Roster!$B25,Roster!CE$7:CE$26,"?*")&gt;Setup!$B$5,COUNTIF(Roster!CE$7:CE$26,"?*")&gt;Setup!$B$6),"CLASH","OK"))</f>
        <v/>
      </c>
      <c r="CF25" s="34" t="str">
        <f aca="false">IF(OR(Roster!$A25="",Roster!CF25=""),"",IF(OR(COUNTIFS(Roster!$B$7:$B$26,Roster!$B25,Roster!CF$7:CF$26,"?*")&gt;Setup!$B$5,COUNTIF(Roster!CF$7:CF$26,"?*")&gt;Setup!$B$6),"CLASH","OK"))</f>
        <v/>
      </c>
      <c r="CG25" s="34" t="str">
        <f aca="false">IF(OR(Roster!$A25="",Roster!CG25=""),"",IF(OR(COUNTIFS(Roster!$B$7:$B$26,Roster!$B25,Roster!CG$7:CG$26,"?*")&gt;Setup!$B$5,COUNTIF(Roster!CG$7:CG$26,"?*")&gt;Setup!$B$6),"CLASH","OK"))</f>
        <v/>
      </c>
      <c r="CH25" s="34" t="str">
        <f aca="false">IF(OR(Roster!$A25="",Roster!CH25=""),"",IF(OR(COUNTIFS(Roster!$B$7:$B$26,Roster!$B25,Roster!CH$7:CH$26,"?*")&gt;Setup!$B$5,COUNTIF(Roster!CH$7:CH$26,"?*")&gt;Setup!$B$6),"CLASH","OK"))</f>
        <v/>
      </c>
      <c r="CI25" s="34" t="str">
        <f aca="false">IF(OR(Roster!$A25="",Roster!CI25=""),"",IF(OR(COUNTIFS(Roster!$B$7:$B$26,Roster!$B25,Roster!CI$7:CI$26,"?*")&gt;Setup!$B$5,COUNTIF(Roster!CI$7:CI$26,"?*")&gt;Setup!$B$6),"CLASH","OK"))</f>
        <v/>
      </c>
      <c r="CJ25" s="34" t="str">
        <f aca="false">IF(OR(Roster!$A25="",Roster!CJ25=""),"",IF(OR(COUNTIFS(Roster!$B$7:$B$26,Roster!$B25,Roster!CJ$7:CJ$26,"?*")&gt;Setup!$B$5,COUNTIF(Roster!CJ$7:CJ$26,"?*")&gt;Setup!$B$6),"CLASH","OK"))</f>
        <v/>
      </c>
      <c r="CK25" s="34" t="str">
        <f aca="false">IF(OR(Roster!$A25="",Roster!CK25=""),"",IF(OR(COUNTIFS(Roster!$B$7:$B$26,Roster!$B25,Roster!CK$7:CK$26,"?*")&gt;Setup!$B$5,COUNTIF(Roster!CK$7:CK$26,"?*")&gt;Setup!$B$6),"CLASH","OK"))</f>
        <v/>
      </c>
      <c r="CL25" s="34" t="str">
        <f aca="false">IF(OR(Roster!$A25="",Roster!CL25=""),"",IF(OR(COUNTIFS(Roster!$B$7:$B$26,Roster!$B25,Roster!CL$7:CL$26,"?*")&gt;Setup!$B$5,COUNTIF(Roster!CL$7:CL$26,"?*")&gt;Setup!$B$6),"CLASH","OK"))</f>
        <v/>
      </c>
      <c r="CM25" s="34" t="str">
        <f aca="false">IF(OR(Roster!$A25="",Roster!CM25=""),"",IF(OR(COUNTIFS(Roster!$B$7:$B$26,Roster!$B25,Roster!CM$7:CM$26,"?*")&gt;Setup!$B$5,COUNTIF(Roster!CM$7:CM$26,"?*")&gt;Setup!$B$6),"CLASH","OK"))</f>
        <v/>
      </c>
      <c r="CN25" s="34" t="str">
        <f aca="false">IF(OR(Roster!$A25="",Roster!CN25=""),"",IF(OR(COUNTIFS(Roster!$B$7:$B$26,Roster!$B25,Roster!CN$7:CN$26,"?*")&gt;Setup!$B$5,COUNTIF(Roster!CN$7:CN$26,"?*")&gt;Setup!$B$6),"CLASH","OK"))</f>
        <v/>
      </c>
      <c r="CO25" s="34" t="str">
        <f aca="false">IF(OR(Roster!$A25="",Roster!CO25=""),"",IF(OR(COUNTIFS(Roster!$B$7:$B$26,Roster!$B25,Roster!CO$7:CO$26,"?*")&gt;Setup!$B$5,COUNTIF(Roster!CO$7:CO$26,"?*")&gt;Setup!$B$6),"CLASH","OK"))</f>
        <v/>
      </c>
      <c r="CP25" s="34" t="str">
        <f aca="false">IF(OR(Roster!$A25="",Roster!CP25=""),"",IF(OR(COUNTIFS(Roster!$B$7:$B$26,Roster!$B25,Roster!CP$7:CP$26,"?*")&gt;Setup!$B$5,COUNTIF(Roster!CP$7:CP$26,"?*")&gt;Setup!$B$6),"CLASH","OK"))</f>
        <v/>
      </c>
      <c r="CQ25" s="34" t="str">
        <f aca="false">IF(OR(Roster!$A25="",Roster!CQ25=""),"",IF(OR(COUNTIFS(Roster!$B$7:$B$26,Roster!$B25,Roster!CQ$7:CQ$26,"?*")&gt;Setup!$B$5,COUNTIF(Roster!CQ$7:CQ$26,"?*")&gt;Setup!$B$6),"CLASH","OK"))</f>
        <v/>
      </c>
      <c r="CR25" s="34" t="str">
        <f aca="false">IF(OR(Roster!$A25="",Roster!CR25=""),"",IF(OR(COUNTIFS(Roster!$B$7:$B$26,Roster!$B25,Roster!CR$7:CR$26,"?*")&gt;Setup!$B$5,COUNTIF(Roster!CR$7:CR$26,"?*")&gt;Setup!$B$6),"CLASH","OK"))</f>
        <v/>
      </c>
      <c r="CS25" s="34" t="str">
        <f aca="false">IF(OR(Roster!$A25="",Roster!CS25=""),"",IF(OR(COUNTIFS(Roster!$B$7:$B$26,Roster!$B25,Roster!CS$7:CS$26,"?*")&gt;Setup!$B$5,COUNTIF(Roster!CS$7:CS$26,"?*")&gt;Setup!$B$6),"CLASH","OK"))</f>
        <v/>
      </c>
      <c r="CT25" s="34" t="str">
        <f aca="false">IF(OR(Roster!$A25="",Roster!CT25=""),"",IF(OR(COUNTIFS(Roster!$B$7:$B$26,Roster!$B25,Roster!CT$7:CT$26,"?*")&gt;Setup!$B$5,COUNTIF(Roster!CT$7:CT$26,"?*")&gt;Setup!$B$6),"CLASH","OK"))</f>
        <v/>
      </c>
      <c r="CU25" s="34" t="str">
        <f aca="false">IF(OR(Roster!$A25="",Roster!CU25=""),"",IF(OR(COUNTIFS(Roster!$B$7:$B$26,Roster!$B25,Roster!CU$7:CU$26,"?*")&gt;Setup!$B$5,COUNTIF(Roster!CU$7:CU$26,"?*")&gt;Setup!$B$6),"CLASH","OK"))</f>
        <v/>
      </c>
    </row>
    <row r="26" customFormat="false" ht="15" hidden="false" customHeight="false" outlineLevel="0" collapsed="false">
      <c r="A26" s="33" t="str">
        <f aca="false">IF(Roster!A26="","",Roster!A26)</f>
        <v/>
      </c>
      <c r="B26" s="33" t="str">
        <f aca="false">IF(Roster!A26="","",Roster!B26)</f>
        <v/>
      </c>
      <c r="H26" s="34" t="str">
        <f aca="false">IF(OR(Roster!$A26="",Roster!H26=""),"",IF(OR(COUNTIFS(Roster!$B$7:$B$26,Roster!$B26,Roster!H$7:H$26,"?*")&gt;Setup!$B$5,COUNTIF(Roster!H$7:H$26,"?*")&gt;Setup!$B$6),"CLASH","OK"))</f>
        <v/>
      </c>
      <c r="I26" s="34" t="str">
        <f aca="false">IF(OR(Roster!$A26="",Roster!I26=""),"",IF(OR(COUNTIFS(Roster!$B$7:$B$26,Roster!$B26,Roster!I$7:I$26,"?*")&gt;Setup!$B$5,COUNTIF(Roster!I$7:I$26,"?*")&gt;Setup!$B$6),"CLASH","OK"))</f>
        <v/>
      </c>
      <c r="J26" s="34" t="str">
        <f aca="false">IF(OR(Roster!$A26="",Roster!J26=""),"",IF(OR(COUNTIFS(Roster!$B$7:$B$26,Roster!$B26,Roster!J$7:J$26,"?*")&gt;Setup!$B$5,COUNTIF(Roster!J$7:J$26,"?*")&gt;Setup!$B$6),"CLASH","OK"))</f>
        <v/>
      </c>
      <c r="K26" s="34" t="str">
        <f aca="false">IF(OR(Roster!$A26="",Roster!K26=""),"",IF(OR(COUNTIFS(Roster!$B$7:$B$26,Roster!$B26,Roster!K$7:K$26,"?*")&gt;Setup!$B$5,COUNTIF(Roster!K$7:K$26,"?*")&gt;Setup!$B$6),"CLASH","OK"))</f>
        <v/>
      </c>
      <c r="L26" s="34" t="str">
        <f aca="false">IF(OR(Roster!$A26="",Roster!L26=""),"",IF(OR(COUNTIFS(Roster!$B$7:$B$26,Roster!$B26,Roster!L$7:L$26,"?*")&gt;Setup!$B$5,COUNTIF(Roster!L$7:L$26,"?*")&gt;Setup!$B$6),"CLASH","OK"))</f>
        <v/>
      </c>
      <c r="M26" s="34" t="str">
        <f aca="false">IF(OR(Roster!$A26="",Roster!M26=""),"",IF(OR(COUNTIFS(Roster!$B$7:$B$26,Roster!$B26,Roster!M$7:M$26,"?*")&gt;Setup!$B$5,COUNTIF(Roster!M$7:M$26,"?*")&gt;Setup!$B$6),"CLASH","OK"))</f>
        <v/>
      </c>
      <c r="N26" s="34" t="str">
        <f aca="false">IF(OR(Roster!$A26="",Roster!N26=""),"",IF(OR(COUNTIFS(Roster!$B$7:$B$26,Roster!$B26,Roster!N$7:N$26,"?*")&gt;Setup!$B$5,COUNTIF(Roster!N$7:N$26,"?*")&gt;Setup!$B$6),"CLASH","OK"))</f>
        <v/>
      </c>
      <c r="O26" s="34" t="str">
        <f aca="false">IF(OR(Roster!$A26="",Roster!O26=""),"",IF(OR(COUNTIFS(Roster!$B$7:$B$26,Roster!$B26,Roster!O$7:O$26,"?*")&gt;Setup!$B$5,COUNTIF(Roster!O$7:O$26,"?*")&gt;Setup!$B$6),"CLASH","OK"))</f>
        <v/>
      </c>
      <c r="P26" s="34" t="str">
        <f aca="false">IF(OR(Roster!$A26="",Roster!P26=""),"",IF(OR(COUNTIFS(Roster!$B$7:$B$26,Roster!$B26,Roster!P$7:P$26,"?*")&gt;Setup!$B$5,COUNTIF(Roster!P$7:P$26,"?*")&gt;Setup!$B$6),"CLASH","OK"))</f>
        <v/>
      </c>
      <c r="Q26" s="34" t="str">
        <f aca="false">IF(OR(Roster!$A26="",Roster!Q26=""),"",IF(OR(COUNTIFS(Roster!$B$7:$B$26,Roster!$B26,Roster!Q$7:Q$26,"?*")&gt;Setup!$B$5,COUNTIF(Roster!Q$7:Q$26,"?*")&gt;Setup!$B$6),"CLASH","OK"))</f>
        <v/>
      </c>
      <c r="R26" s="34" t="str">
        <f aca="false">IF(OR(Roster!$A26="",Roster!R26=""),"",IF(OR(COUNTIFS(Roster!$B$7:$B$26,Roster!$B26,Roster!R$7:R$26,"?*")&gt;Setup!$B$5,COUNTIF(Roster!R$7:R$26,"?*")&gt;Setup!$B$6),"CLASH","OK"))</f>
        <v/>
      </c>
      <c r="S26" s="34" t="str">
        <f aca="false">IF(OR(Roster!$A26="",Roster!S26=""),"",IF(OR(COUNTIFS(Roster!$B$7:$B$26,Roster!$B26,Roster!S$7:S$26,"?*")&gt;Setup!$B$5,COUNTIF(Roster!S$7:S$26,"?*")&gt;Setup!$B$6),"CLASH","OK"))</f>
        <v/>
      </c>
      <c r="T26" s="34" t="str">
        <f aca="false">IF(OR(Roster!$A26="",Roster!T26=""),"",IF(OR(COUNTIFS(Roster!$B$7:$B$26,Roster!$B26,Roster!T$7:T$26,"?*")&gt;Setup!$B$5,COUNTIF(Roster!T$7:T$26,"?*")&gt;Setup!$B$6),"CLASH","OK"))</f>
        <v/>
      </c>
      <c r="U26" s="34" t="str">
        <f aca="false">IF(OR(Roster!$A26="",Roster!U26=""),"",IF(OR(COUNTIFS(Roster!$B$7:$B$26,Roster!$B26,Roster!U$7:U$26,"?*")&gt;Setup!$B$5,COUNTIF(Roster!U$7:U$26,"?*")&gt;Setup!$B$6),"CLASH","OK"))</f>
        <v/>
      </c>
      <c r="V26" s="34" t="str">
        <f aca="false">IF(OR(Roster!$A26="",Roster!V26=""),"",IF(OR(COUNTIFS(Roster!$B$7:$B$26,Roster!$B26,Roster!V$7:V$26,"?*")&gt;Setup!$B$5,COUNTIF(Roster!V$7:V$26,"?*")&gt;Setup!$B$6),"CLASH","OK"))</f>
        <v/>
      </c>
      <c r="W26" s="34" t="str">
        <f aca="false">IF(OR(Roster!$A26="",Roster!W26=""),"",IF(OR(COUNTIFS(Roster!$B$7:$B$26,Roster!$B26,Roster!W$7:W$26,"?*")&gt;Setup!$B$5,COUNTIF(Roster!W$7:W$26,"?*")&gt;Setup!$B$6),"CLASH","OK"))</f>
        <v/>
      </c>
      <c r="X26" s="34" t="str">
        <f aca="false">IF(OR(Roster!$A26="",Roster!X26=""),"",IF(OR(COUNTIFS(Roster!$B$7:$B$26,Roster!$B26,Roster!X$7:X$26,"?*")&gt;Setup!$B$5,COUNTIF(Roster!X$7:X$26,"?*")&gt;Setup!$B$6),"CLASH","OK"))</f>
        <v/>
      </c>
      <c r="Y26" s="34" t="str">
        <f aca="false">IF(OR(Roster!$A26="",Roster!Y26=""),"",IF(OR(COUNTIFS(Roster!$B$7:$B$26,Roster!$B26,Roster!Y$7:Y$26,"?*")&gt;Setup!$B$5,COUNTIF(Roster!Y$7:Y$26,"?*")&gt;Setup!$B$6),"CLASH","OK"))</f>
        <v/>
      </c>
      <c r="Z26" s="34" t="str">
        <f aca="false">IF(OR(Roster!$A26="",Roster!Z26=""),"",IF(OR(COUNTIFS(Roster!$B$7:$B$26,Roster!$B26,Roster!Z$7:Z$26,"?*")&gt;Setup!$B$5,COUNTIF(Roster!Z$7:Z$26,"?*")&gt;Setup!$B$6),"CLASH","OK"))</f>
        <v/>
      </c>
      <c r="AA26" s="34" t="str">
        <f aca="false">IF(OR(Roster!$A26="",Roster!AA26=""),"",IF(OR(COUNTIFS(Roster!$B$7:$B$26,Roster!$B26,Roster!AA$7:AA$26,"?*")&gt;Setup!$B$5,COUNTIF(Roster!AA$7:AA$26,"?*")&gt;Setup!$B$6),"CLASH","OK"))</f>
        <v/>
      </c>
      <c r="AB26" s="34" t="str">
        <f aca="false">IF(OR(Roster!$A26="",Roster!AB26=""),"",IF(OR(COUNTIFS(Roster!$B$7:$B$26,Roster!$B26,Roster!AB$7:AB$26,"?*")&gt;Setup!$B$5,COUNTIF(Roster!AB$7:AB$26,"?*")&gt;Setup!$B$6),"CLASH","OK"))</f>
        <v/>
      </c>
      <c r="AC26" s="34" t="str">
        <f aca="false">IF(OR(Roster!$A26="",Roster!AC26=""),"",IF(OR(COUNTIFS(Roster!$B$7:$B$26,Roster!$B26,Roster!AC$7:AC$26,"?*")&gt;Setup!$B$5,COUNTIF(Roster!AC$7:AC$26,"?*")&gt;Setup!$B$6),"CLASH","OK"))</f>
        <v/>
      </c>
      <c r="AD26" s="34" t="str">
        <f aca="false">IF(OR(Roster!$A26="",Roster!AD26=""),"",IF(OR(COUNTIFS(Roster!$B$7:$B$26,Roster!$B26,Roster!AD$7:AD$26,"?*")&gt;Setup!$B$5,COUNTIF(Roster!AD$7:AD$26,"?*")&gt;Setup!$B$6),"CLASH","OK"))</f>
        <v/>
      </c>
      <c r="AE26" s="34" t="str">
        <f aca="false">IF(OR(Roster!$A26="",Roster!AE26=""),"",IF(OR(COUNTIFS(Roster!$B$7:$B$26,Roster!$B26,Roster!AE$7:AE$26,"?*")&gt;Setup!$B$5,COUNTIF(Roster!AE$7:AE$26,"?*")&gt;Setup!$B$6),"CLASH","OK"))</f>
        <v/>
      </c>
      <c r="AF26" s="34" t="str">
        <f aca="false">IF(OR(Roster!$A26="",Roster!AF26=""),"",IF(OR(COUNTIFS(Roster!$B$7:$B$26,Roster!$B26,Roster!AF$7:AF$26,"?*")&gt;Setup!$B$5,COUNTIF(Roster!AF$7:AF$26,"?*")&gt;Setup!$B$6),"CLASH","OK"))</f>
        <v/>
      </c>
      <c r="AG26" s="34" t="str">
        <f aca="false">IF(OR(Roster!$A26="",Roster!AG26=""),"",IF(OR(COUNTIFS(Roster!$B$7:$B$26,Roster!$B26,Roster!AG$7:AG$26,"?*")&gt;Setup!$B$5,COUNTIF(Roster!AG$7:AG$26,"?*")&gt;Setup!$B$6),"CLASH","OK"))</f>
        <v/>
      </c>
      <c r="AH26" s="34" t="str">
        <f aca="false">IF(OR(Roster!$A26="",Roster!AH26=""),"",IF(OR(COUNTIFS(Roster!$B$7:$B$26,Roster!$B26,Roster!AH$7:AH$26,"?*")&gt;Setup!$B$5,COUNTIF(Roster!AH$7:AH$26,"?*")&gt;Setup!$B$6),"CLASH","OK"))</f>
        <v/>
      </c>
      <c r="AI26" s="34" t="str">
        <f aca="false">IF(OR(Roster!$A26="",Roster!AI26=""),"",IF(OR(COUNTIFS(Roster!$B$7:$B$26,Roster!$B26,Roster!AI$7:AI$26,"?*")&gt;Setup!$B$5,COUNTIF(Roster!AI$7:AI$26,"?*")&gt;Setup!$B$6),"CLASH","OK"))</f>
        <v/>
      </c>
      <c r="AJ26" s="34" t="str">
        <f aca="false">IF(OR(Roster!$A26="",Roster!AJ26=""),"",IF(OR(COUNTIFS(Roster!$B$7:$B$26,Roster!$B26,Roster!AJ$7:AJ$26,"?*")&gt;Setup!$B$5,COUNTIF(Roster!AJ$7:AJ$26,"?*")&gt;Setup!$B$6),"CLASH","OK"))</f>
        <v/>
      </c>
      <c r="AK26" s="34" t="str">
        <f aca="false">IF(OR(Roster!$A26="",Roster!AK26=""),"",IF(OR(COUNTIFS(Roster!$B$7:$B$26,Roster!$B26,Roster!AK$7:AK$26,"?*")&gt;Setup!$B$5,COUNTIF(Roster!AK$7:AK$26,"?*")&gt;Setup!$B$6),"CLASH","OK"))</f>
        <v/>
      </c>
      <c r="AL26" s="34" t="str">
        <f aca="false">IF(OR(Roster!$A26="",Roster!AL26=""),"",IF(OR(COUNTIFS(Roster!$B$7:$B$26,Roster!$B26,Roster!AL$7:AL$26,"?*")&gt;Setup!$B$5,COUNTIF(Roster!AL$7:AL$26,"?*")&gt;Setup!$B$6),"CLASH","OK"))</f>
        <v/>
      </c>
      <c r="AM26" s="34" t="str">
        <f aca="false">IF(OR(Roster!$A26="",Roster!AM26=""),"",IF(OR(COUNTIFS(Roster!$B$7:$B$26,Roster!$B26,Roster!AM$7:AM$26,"?*")&gt;Setup!$B$5,COUNTIF(Roster!AM$7:AM$26,"?*")&gt;Setup!$B$6),"CLASH","OK"))</f>
        <v/>
      </c>
      <c r="AN26" s="34" t="str">
        <f aca="false">IF(OR(Roster!$A26="",Roster!AN26=""),"",IF(OR(COUNTIFS(Roster!$B$7:$B$26,Roster!$B26,Roster!AN$7:AN$26,"?*")&gt;Setup!$B$5,COUNTIF(Roster!AN$7:AN$26,"?*")&gt;Setup!$B$6),"CLASH","OK"))</f>
        <v/>
      </c>
      <c r="AO26" s="34" t="str">
        <f aca="false">IF(OR(Roster!$A26="",Roster!AO26=""),"",IF(OR(COUNTIFS(Roster!$B$7:$B$26,Roster!$B26,Roster!AO$7:AO$26,"?*")&gt;Setup!$B$5,COUNTIF(Roster!AO$7:AO$26,"?*")&gt;Setup!$B$6),"CLASH","OK"))</f>
        <v/>
      </c>
      <c r="AP26" s="34" t="str">
        <f aca="false">IF(OR(Roster!$A26="",Roster!AP26=""),"",IF(OR(COUNTIFS(Roster!$B$7:$B$26,Roster!$B26,Roster!AP$7:AP$26,"?*")&gt;Setup!$B$5,COUNTIF(Roster!AP$7:AP$26,"?*")&gt;Setup!$B$6),"CLASH","OK"))</f>
        <v/>
      </c>
      <c r="AQ26" s="34" t="str">
        <f aca="false">IF(OR(Roster!$A26="",Roster!AQ26=""),"",IF(OR(COUNTIFS(Roster!$B$7:$B$26,Roster!$B26,Roster!AQ$7:AQ$26,"?*")&gt;Setup!$B$5,COUNTIF(Roster!AQ$7:AQ$26,"?*")&gt;Setup!$B$6),"CLASH","OK"))</f>
        <v/>
      </c>
      <c r="AR26" s="34" t="str">
        <f aca="false">IF(OR(Roster!$A26="",Roster!AR26=""),"",IF(OR(COUNTIFS(Roster!$B$7:$B$26,Roster!$B26,Roster!AR$7:AR$26,"?*")&gt;Setup!$B$5,COUNTIF(Roster!AR$7:AR$26,"?*")&gt;Setup!$B$6),"CLASH","OK"))</f>
        <v/>
      </c>
      <c r="AS26" s="34" t="str">
        <f aca="false">IF(OR(Roster!$A26="",Roster!AS26=""),"",IF(OR(COUNTIFS(Roster!$B$7:$B$26,Roster!$B26,Roster!AS$7:AS$26,"?*")&gt;Setup!$B$5,COUNTIF(Roster!AS$7:AS$26,"?*")&gt;Setup!$B$6),"CLASH","OK"))</f>
        <v/>
      </c>
      <c r="AT26" s="34" t="str">
        <f aca="false">IF(OR(Roster!$A26="",Roster!AT26=""),"",IF(OR(COUNTIFS(Roster!$B$7:$B$26,Roster!$B26,Roster!AT$7:AT$26,"?*")&gt;Setup!$B$5,COUNTIF(Roster!AT$7:AT$26,"?*")&gt;Setup!$B$6),"CLASH","OK"))</f>
        <v/>
      </c>
      <c r="AU26" s="34" t="str">
        <f aca="false">IF(OR(Roster!$A26="",Roster!AU26=""),"",IF(OR(COUNTIFS(Roster!$B$7:$B$26,Roster!$B26,Roster!AU$7:AU$26,"?*")&gt;Setup!$B$5,COUNTIF(Roster!AU$7:AU$26,"?*")&gt;Setup!$B$6),"CLASH","OK"))</f>
        <v/>
      </c>
      <c r="AV26" s="34" t="str">
        <f aca="false">IF(OR(Roster!$A26="",Roster!AV26=""),"",IF(OR(COUNTIFS(Roster!$B$7:$B$26,Roster!$B26,Roster!AV$7:AV$26,"?*")&gt;Setup!$B$5,COUNTIF(Roster!AV$7:AV$26,"?*")&gt;Setup!$B$6),"CLASH","OK"))</f>
        <v/>
      </c>
      <c r="AW26" s="34" t="str">
        <f aca="false">IF(OR(Roster!$A26="",Roster!AW26=""),"",IF(OR(COUNTIFS(Roster!$B$7:$B$26,Roster!$B26,Roster!AW$7:AW$26,"?*")&gt;Setup!$B$5,COUNTIF(Roster!AW$7:AW$26,"?*")&gt;Setup!$B$6),"CLASH","OK"))</f>
        <v/>
      </c>
      <c r="AX26" s="34" t="str">
        <f aca="false">IF(OR(Roster!$A26="",Roster!AX26=""),"",IF(OR(COUNTIFS(Roster!$B$7:$B$26,Roster!$B26,Roster!AX$7:AX$26,"?*")&gt;Setup!$B$5,COUNTIF(Roster!AX$7:AX$26,"?*")&gt;Setup!$B$6),"CLASH","OK"))</f>
        <v/>
      </c>
      <c r="AY26" s="34" t="str">
        <f aca="false">IF(OR(Roster!$A26="",Roster!AY26=""),"",IF(OR(COUNTIFS(Roster!$B$7:$B$26,Roster!$B26,Roster!AY$7:AY$26,"?*")&gt;Setup!$B$5,COUNTIF(Roster!AY$7:AY$26,"?*")&gt;Setup!$B$6),"CLASH","OK"))</f>
        <v/>
      </c>
      <c r="AZ26" s="34" t="str">
        <f aca="false">IF(OR(Roster!$A26="",Roster!AZ26=""),"",IF(OR(COUNTIFS(Roster!$B$7:$B$26,Roster!$B26,Roster!AZ$7:AZ$26,"?*")&gt;Setup!$B$5,COUNTIF(Roster!AZ$7:AZ$26,"?*")&gt;Setup!$B$6),"CLASH","OK"))</f>
        <v/>
      </c>
      <c r="BA26" s="34" t="str">
        <f aca="false">IF(OR(Roster!$A26="",Roster!BA26=""),"",IF(OR(COUNTIFS(Roster!$B$7:$B$26,Roster!$B26,Roster!BA$7:BA$26,"?*")&gt;Setup!$B$5,COUNTIF(Roster!BA$7:BA$26,"?*")&gt;Setup!$B$6),"CLASH","OK"))</f>
        <v/>
      </c>
      <c r="BB26" s="34" t="str">
        <f aca="false">IF(OR(Roster!$A26="",Roster!BB26=""),"",IF(OR(COUNTIFS(Roster!$B$7:$B$26,Roster!$B26,Roster!BB$7:BB$26,"?*")&gt;Setup!$B$5,COUNTIF(Roster!BB$7:BB$26,"?*")&gt;Setup!$B$6),"CLASH","OK"))</f>
        <v/>
      </c>
      <c r="BC26" s="34" t="str">
        <f aca="false">IF(OR(Roster!$A26="",Roster!BC26=""),"",IF(OR(COUNTIFS(Roster!$B$7:$B$26,Roster!$B26,Roster!BC$7:BC$26,"?*")&gt;Setup!$B$5,COUNTIF(Roster!BC$7:BC$26,"?*")&gt;Setup!$B$6),"CLASH","OK"))</f>
        <v/>
      </c>
      <c r="BD26" s="34" t="str">
        <f aca="false">IF(OR(Roster!$A26="",Roster!BD26=""),"",IF(OR(COUNTIFS(Roster!$B$7:$B$26,Roster!$B26,Roster!BD$7:BD$26,"?*")&gt;Setup!$B$5,COUNTIF(Roster!BD$7:BD$26,"?*")&gt;Setup!$B$6),"CLASH","OK"))</f>
        <v/>
      </c>
      <c r="BE26" s="34" t="str">
        <f aca="false">IF(OR(Roster!$A26="",Roster!BE26=""),"",IF(OR(COUNTIFS(Roster!$B$7:$B$26,Roster!$B26,Roster!BE$7:BE$26,"?*")&gt;Setup!$B$5,COUNTIF(Roster!BE$7:BE$26,"?*")&gt;Setup!$B$6),"CLASH","OK"))</f>
        <v/>
      </c>
      <c r="BF26" s="34" t="str">
        <f aca="false">IF(OR(Roster!$A26="",Roster!BF26=""),"",IF(OR(COUNTIFS(Roster!$B$7:$B$26,Roster!$B26,Roster!BF$7:BF$26,"?*")&gt;Setup!$B$5,COUNTIF(Roster!BF$7:BF$26,"?*")&gt;Setup!$B$6),"CLASH","OK"))</f>
        <v/>
      </c>
      <c r="BG26" s="34" t="str">
        <f aca="false">IF(OR(Roster!$A26="",Roster!BG26=""),"",IF(OR(COUNTIFS(Roster!$B$7:$B$26,Roster!$B26,Roster!BG$7:BG$26,"?*")&gt;Setup!$B$5,COUNTIF(Roster!BG$7:BG$26,"?*")&gt;Setup!$B$6),"CLASH","OK"))</f>
        <v/>
      </c>
      <c r="BH26" s="34" t="str">
        <f aca="false">IF(OR(Roster!$A26="",Roster!BH26=""),"",IF(OR(COUNTIFS(Roster!$B$7:$B$26,Roster!$B26,Roster!BH$7:BH$26,"?*")&gt;Setup!$B$5,COUNTIF(Roster!BH$7:BH$26,"?*")&gt;Setup!$B$6),"CLASH","OK"))</f>
        <v/>
      </c>
      <c r="BI26" s="34" t="str">
        <f aca="false">IF(OR(Roster!$A26="",Roster!BI26=""),"",IF(OR(COUNTIFS(Roster!$B$7:$B$26,Roster!$B26,Roster!BI$7:BI$26,"?*")&gt;Setup!$B$5,COUNTIF(Roster!BI$7:BI$26,"?*")&gt;Setup!$B$6),"CLASH","OK"))</f>
        <v/>
      </c>
      <c r="BJ26" s="34" t="str">
        <f aca="false">IF(OR(Roster!$A26="",Roster!BJ26=""),"",IF(OR(COUNTIFS(Roster!$B$7:$B$26,Roster!$B26,Roster!BJ$7:BJ$26,"?*")&gt;Setup!$B$5,COUNTIF(Roster!BJ$7:BJ$26,"?*")&gt;Setup!$B$6),"CLASH","OK"))</f>
        <v/>
      </c>
      <c r="BK26" s="34" t="str">
        <f aca="false">IF(OR(Roster!$A26="",Roster!BK26=""),"",IF(OR(COUNTIFS(Roster!$B$7:$B$26,Roster!$B26,Roster!BK$7:BK$26,"?*")&gt;Setup!$B$5,COUNTIF(Roster!BK$7:BK$26,"?*")&gt;Setup!$B$6),"CLASH","OK"))</f>
        <v/>
      </c>
      <c r="BL26" s="34" t="str">
        <f aca="false">IF(OR(Roster!$A26="",Roster!BL26=""),"",IF(OR(COUNTIFS(Roster!$B$7:$B$26,Roster!$B26,Roster!BL$7:BL$26,"?*")&gt;Setup!$B$5,COUNTIF(Roster!BL$7:BL$26,"?*")&gt;Setup!$B$6),"CLASH","OK"))</f>
        <v/>
      </c>
      <c r="BM26" s="34" t="str">
        <f aca="false">IF(OR(Roster!$A26="",Roster!BM26=""),"",IF(OR(COUNTIFS(Roster!$B$7:$B$26,Roster!$B26,Roster!BM$7:BM$26,"?*")&gt;Setup!$B$5,COUNTIF(Roster!BM$7:BM$26,"?*")&gt;Setup!$B$6),"CLASH","OK"))</f>
        <v/>
      </c>
      <c r="BN26" s="34" t="str">
        <f aca="false">IF(OR(Roster!$A26="",Roster!BN26=""),"",IF(OR(COUNTIFS(Roster!$B$7:$B$26,Roster!$B26,Roster!BN$7:BN$26,"?*")&gt;Setup!$B$5,COUNTIF(Roster!BN$7:BN$26,"?*")&gt;Setup!$B$6),"CLASH","OK"))</f>
        <v/>
      </c>
      <c r="BO26" s="34" t="str">
        <f aca="false">IF(OR(Roster!$A26="",Roster!BO26=""),"",IF(OR(COUNTIFS(Roster!$B$7:$B$26,Roster!$B26,Roster!BO$7:BO$26,"?*")&gt;Setup!$B$5,COUNTIF(Roster!BO$7:BO$26,"?*")&gt;Setup!$B$6),"CLASH","OK"))</f>
        <v/>
      </c>
      <c r="BP26" s="34" t="str">
        <f aca="false">IF(OR(Roster!$A26="",Roster!BP26=""),"",IF(OR(COUNTIFS(Roster!$B$7:$B$26,Roster!$B26,Roster!BP$7:BP$26,"?*")&gt;Setup!$B$5,COUNTIF(Roster!BP$7:BP$26,"?*")&gt;Setup!$B$6),"CLASH","OK"))</f>
        <v/>
      </c>
      <c r="BQ26" s="34" t="str">
        <f aca="false">IF(OR(Roster!$A26="",Roster!BQ26=""),"",IF(OR(COUNTIFS(Roster!$B$7:$B$26,Roster!$B26,Roster!BQ$7:BQ$26,"?*")&gt;Setup!$B$5,COUNTIF(Roster!BQ$7:BQ$26,"?*")&gt;Setup!$B$6),"CLASH","OK"))</f>
        <v/>
      </c>
      <c r="BR26" s="34" t="str">
        <f aca="false">IF(OR(Roster!$A26="",Roster!BR26=""),"",IF(OR(COUNTIFS(Roster!$B$7:$B$26,Roster!$B26,Roster!BR$7:BR$26,"?*")&gt;Setup!$B$5,COUNTIF(Roster!BR$7:BR$26,"?*")&gt;Setup!$B$6),"CLASH","OK"))</f>
        <v/>
      </c>
      <c r="BS26" s="34" t="str">
        <f aca="false">IF(OR(Roster!$A26="",Roster!BS26=""),"",IF(OR(COUNTIFS(Roster!$B$7:$B$26,Roster!$B26,Roster!BS$7:BS$26,"?*")&gt;Setup!$B$5,COUNTIF(Roster!BS$7:BS$26,"?*")&gt;Setup!$B$6),"CLASH","OK"))</f>
        <v/>
      </c>
      <c r="BT26" s="34" t="str">
        <f aca="false">IF(OR(Roster!$A26="",Roster!BT26=""),"",IF(OR(COUNTIFS(Roster!$B$7:$B$26,Roster!$B26,Roster!BT$7:BT$26,"?*")&gt;Setup!$B$5,COUNTIF(Roster!BT$7:BT$26,"?*")&gt;Setup!$B$6),"CLASH","OK"))</f>
        <v/>
      </c>
      <c r="BU26" s="34" t="str">
        <f aca="false">IF(OR(Roster!$A26="",Roster!BU26=""),"",IF(OR(COUNTIFS(Roster!$B$7:$B$26,Roster!$B26,Roster!BU$7:BU$26,"?*")&gt;Setup!$B$5,COUNTIF(Roster!BU$7:BU$26,"?*")&gt;Setup!$B$6),"CLASH","OK"))</f>
        <v/>
      </c>
      <c r="BV26" s="34" t="str">
        <f aca="false">IF(OR(Roster!$A26="",Roster!BV26=""),"",IF(OR(COUNTIFS(Roster!$B$7:$B$26,Roster!$B26,Roster!BV$7:BV$26,"?*")&gt;Setup!$B$5,COUNTIF(Roster!BV$7:BV$26,"?*")&gt;Setup!$B$6),"CLASH","OK"))</f>
        <v/>
      </c>
      <c r="BW26" s="34" t="str">
        <f aca="false">IF(OR(Roster!$A26="",Roster!BW26=""),"",IF(OR(COUNTIFS(Roster!$B$7:$B$26,Roster!$B26,Roster!BW$7:BW$26,"?*")&gt;Setup!$B$5,COUNTIF(Roster!BW$7:BW$26,"?*")&gt;Setup!$B$6),"CLASH","OK"))</f>
        <v/>
      </c>
      <c r="BX26" s="34" t="str">
        <f aca="false">IF(OR(Roster!$A26="",Roster!BX26=""),"",IF(OR(COUNTIFS(Roster!$B$7:$B$26,Roster!$B26,Roster!BX$7:BX$26,"?*")&gt;Setup!$B$5,COUNTIF(Roster!BX$7:BX$26,"?*")&gt;Setup!$B$6),"CLASH","OK"))</f>
        <v/>
      </c>
      <c r="BY26" s="34" t="str">
        <f aca="false">IF(OR(Roster!$A26="",Roster!BY26=""),"",IF(OR(COUNTIFS(Roster!$B$7:$B$26,Roster!$B26,Roster!BY$7:BY$26,"?*")&gt;Setup!$B$5,COUNTIF(Roster!BY$7:BY$26,"?*")&gt;Setup!$B$6),"CLASH","OK"))</f>
        <v/>
      </c>
      <c r="BZ26" s="34" t="str">
        <f aca="false">IF(OR(Roster!$A26="",Roster!BZ26=""),"",IF(OR(COUNTIFS(Roster!$B$7:$B$26,Roster!$B26,Roster!BZ$7:BZ$26,"?*")&gt;Setup!$B$5,COUNTIF(Roster!BZ$7:BZ$26,"?*")&gt;Setup!$B$6),"CLASH","OK"))</f>
        <v/>
      </c>
      <c r="CA26" s="34" t="str">
        <f aca="false">IF(OR(Roster!$A26="",Roster!CA26=""),"",IF(OR(COUNTIFS(Roster!$B$7:$B$26,Roster!$B26,Roster!CA$7:CA$26,"?*")&gt;Setup!$B$5,COUNTIF(Roster!CA$7:CA$26,"?*")&gt;Setup!$B$6),"CLASH","OK"))</f>
        <v/>
      </c>
      <c r="CB26" s="34" t="str">
        <f aca="false">IF(OR(Roster!$A26="",Roster!CB26=""),"",IF(OR(COUNTIFS(Roster!$B$7:$B$26,Roster!$B26,Roster!CB$7:CB$26,"?*")&gt;Setup!$B$5,COUNTIF(Roster!CB$7:CB$26,"?*")&gt;Setup!$B$6),"CLASH","OK"))</f>
        <v/>
      </c>
      <c r="CC26" s="34" t="str">
        <f aca="false">IF(OR(Roster!$A26="",Roster!CC26=""),"",IF(OR(COUNTIFS(Roster!$B$7:$B$26,Roster!$B26,Roster!CC$7:CC$26,"?*")&gt;Setup!$B$5,COUNTIF(Roster!CC$7:CC$26,"?*")&gt;Setup!$B$6),"CLASH","OK"))</f>
        <v/>
      </c>
      <c r="CD26" s="34" t="str">
        <f aca="false">IF(OR(Roster!$A26="",Roster!CD26=""),"",IF(OR(COUNTIFS(Roster!$B$7:$B$26,Roster!$B26,Roster!CD$7:CD$26,"?*")&gt;Setup!$B$5,COUNTIF(Roster!CD$7:CD$26,"?*")&gt;Setup!$B$6),"CLASH","OK"))</f>
        <v/>
      </c>
      <c r="CE26" s="34" t="str">
        <f aca="false">IF(OR(Roster!$A26="",Roster!CE26=""),"",IF(OR(COUNTIFS(Roster!$B$7:$B$26,Roster!$B26,Roster!CE$7:CE$26,"?*")&gt;Setup!$B$5,COUNTIF(Roster!CE$7:CE$26,"?*")&gt;Setup!$B$6),"CLASH","OK"))</f>
        <v/>
      </c>
      <c r="CF26" s="34" t="str">
        <f aca="false">IF(OR(Roster!$A26="",Roster!CF26=""),"",IF(OR(COUNTIFS(Roster!$B$7:$B$26,Roster!$B26,Roster!CF$7:CF$26,"?*")&gt;Setup!$B$5,COUNTIF(Roster!CF$7:CF$26,"?*")&gt;Setup!$B$6),"CLASH","OK"))</f>
        <v/>
      </c>
      <c r="CG26" s="34" t="str">
        <f aca="false">IF(OR(Roster!$A26="",Roster!CG26=""),"",IF(OR(COUNTIFS(Roster!$B$7:$B$26,Roster!$B26,Roster!CG$7:CG$26,"?*")&gt;Setup!$B$5,COUNTIF(Roster!CG$7:CG$26,"?*")&gt;Setup!$B$6),"CLASH","OK"))</f>
        <v/>
      </c>
      <c r="CH26" s="34" t="str">
        <f aca="false">IF(OR(Roster!$A26="",Roster!CH26=""),"",IF(OR(COUNTIFS(Roster!$B$7:$B$26,Roster!$B26,Roster!CH$7:CH$26,"?*")&gt;Setup!$B$5,COUNTIF(Roster!CH$7:CH$26,"?*")&gt;Setup!$B$6),"CLASH","OK"))</f>
        <v/>
      </c>
      <c r="CI26" s="34" t="str">
        <f aca="false">IF(OR(Roster!$A26="",Roster!CI26=""),"",IF(OR(COUNTIFS(Roster!$B$7:$B$26,Roster!$B26,Roster!CI$7:CI$26,"?*")&gt;Setup!$B$5,COUNTIF(Roster!CI$7:CI$26,"?*")&gt;Setup!$B$6),"CLASH","OK"))</f>
        <v/>
      </c>
      <c r="CJ26" s="34" t="str">
        <f aca="false">IF(OR(Roster!$A26="",Roster!CJ26=""),"",IF(OR(COUNTIFS(Roster!$B$7:$B$26,Roster!$B26,Roster!CJ$7:CJ$26,"?*")&gt;Setup!$B$5,COUNTIF(Roster!CJ$7:CJ$26,"?*")&gt;Setup!$B$6),"CLASH","OK"))</f>
        <v/>
      </c>
      <c r="CK26" s="34" t="str">
        <f aca="false">IF(OR(Roster!$A26="",Roster!CK26=""),"",IF(OR(COUNTIFS(Roster!$B$7:$B$26,Roster!$B26,Roster!CK$7:CK$26,"?*")&gt;Setup!$B$5,COUNTIF(Roster!CK$7:CK$26,"?*")&gt;Setup!$B$6),"CLASH","OK"))</f>
        <v/>
      </c>
      <c r="CL26" s="34" t="str">
        <f aca="false">IF(OR(Roster!$A26="",Roster!CL26=""),"",IF(OR(COUNTIFS(Roster!$B$7:$B$26,Roster!$B26,Roster!CL$7:CL$26,"?*")&gt;Setup!$B$5,COUNTIF(Roster!CL$7:CL$26,"?*")&gt;Setup!$B$6),"CLASH","OK"))</f>
        <v/>
      </c>
      <c r="CM26" s="34" t="str">
        <f aca="false">IF(OR(Roster!$A26="",Roster!CM26=""),"",IF(OR(COUNTIFS(Roster!$B$7:$B$26,Roster!$B26,Roster!CM$7:CM$26,"?*")&gt;Setup!$B$5,COUNTIF(Roster!CM$7:CM$26,"?*")&gt;Setup!$B$6),"CLASH","OK"))</f>
        <v/>
      </c>
      <c r="CN26" s="34" t="str">
        <f aca="false">IF(OR(Roster!$A26="",Roster!CN26=""),"",IF(OR(COUNTIFS(Roster!$B$7:$B$26,Roster!$B26,Roster!CN$7:CN$26,"?*")&gt;Setup!$B$5,COUNTIF(Roster!CN$7:CN$26,"?*")&gt;Setup!$B$6),"CLASH","OK"))</f>
        <v/>
      </c>
      <c r="CO26" s="34" t="str">
        <f aca="false">IF(OR(Roster!$A26="",Roster!CO26=""),"",IF(OR(COUNTIFS(Roster!$B$7:$B$26,Roster!$B26,Roster!CO$7:CO$26,"?*")&gt;Setup!$B$5,COUNTIF(Roster!CO$7:CO$26,"?*")&gt;Setup!$B$6),"CLASH","OK"))</f>
        <v/>
      </c>
      <c r="CP26" s="34" t="str">
        <f aca="false">IF(OR(Roster!$A26="",Roster!CP26=""),"",IF(OR(COUNTIFS(Roster!$B$7:$B$26,Roster!$B26,Roster!CP$7:CP$26,"?*")&gt;Setup!$B$5,COUNTIF(Roster!CP$7:CP$26,"?*")&gt;Setup!$B$6),"CLASH","OK"))</f>
        <v/>
      </c>
      <c r="CQ26" s="34" t="str">
        <f aca="false">IF(OR(Roster!$A26="",Roster!CQ26=""),"",IF(OR(COUNTIFS(Roster!$B$7:$B$26,Roster!$B26,Roster!CQ$7:CQ$26,"?*")&gt;Setup!$B$5,COUNTIF(Roster!CQ$7:CQ$26,"?*")&gt;Setup!$B$6),"CLASH","OK"))</f>
        <v/>
      </c>
      <c r="CR26" s="34" t="str">
        <f aca="false">IF(OR(Roster!$A26="",Roster!CR26=""),"",IF(OR(COUNTIFS(Roster!$B$7:$B$26,Roster!$B26,Roster!CR$7:CR$26,"?*")&gt;Setup!$B$5,COUNTIF(Roster!CR$7:CR$26,"?*")&gt;Setup!$B$6),"CLASH","OK"))</f>
        <v/>
      </c>
      <c r="CS26" s="34" t="str">
        <f aca="false">IF(OR(Roster!$A26="",Roster!CS26=""),"",IF(OR(COUNTIFS(Roster!$B$7:$B$26,Roster!$B26,Roster!CS$7:CS$26,"?*")&gt;Setup!$B$5,COUNTIF(Roster!CS$7:CS$26,"?*")&gt;Setup!$B$6),"CLASH","OK"))</f>
        <v/>
      </c>
      <c r="CT26" s="34" t="str">
        <f aca="false">IF(OR(Roster!$A26="",Roster!CT26=""),"",IF(OR(COUNTIFS(Roster!$B$7:$B$26,Roster!$B26,Roster!CT$7:CT$26,"?*")&gt;Setup!$B$5,COUNTIF(Roster!CT$7:CT$26,"?*")&gt;Setup!$B$6),"CLASH","OK"))</f>
        <v/>
      </c>
      <c r="CU26" s="34" t="str">
        <f aca="false">IF(OR(Roster!$A26="",Roster!CU26=""),"",IF(OR(COUNTIFS(Roster!$B$7:$B$26,Roster!$B26,Roster!CU$7:CU$26,"?*")&gt;Setup!$B$5,COUNTIF(Roster!CU$7:CU$26,"?*")&gt;Setup!$B$6),"CLASH","OK"))</f>
        <v/>
      </c>
    </row>
  </sheetData>
  <conditionalFormatting sqref="H7:CU26">
    <cfRule type="expression" priority="2" aboveAverage="0" equalAverage="0" bottom="0" percent="0" rank="0" text="" dxfId="0">
      <formula>H7="CLASH"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2026-10-22T16:08:15Z</dcterms:created>
  <dc:creator>openpyxl</dc:creator>
  <dc:description/>
  <dc:language>en-US</dc:language>
  <cp:lastModifiedBy/>
  <dcterms:modified xsi:type="dcterms:W3CDTF">2026-10-22T16:08:16Z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