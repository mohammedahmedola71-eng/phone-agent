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Setup" sheetId="2" state="visible" r:id="rId4"/>
    <sheet name="Employees" sheetId="3" state="visible" r:id="rId5"/>
    <sheet name="Leave Log" sheetId="4" state="visible" r:id="rId6"/>
    <sheet name="Balan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Assumption: sample value of 3. Set to your team's real minimum cover.</t>
        </r>
      </text>
    </comment>
  </commentList>
</comments>
</file>

<file path=xl/sharedStrings.xml><?xml version="1.0" encoding="utf-8"?>
<sst xmlns="http://schemas.openxmlformats.org/spreadsheetml/2006/main" count="138" uniqueCount="111">
  <si>
    <t xml:space="preserve">Leave Roster – Monthly View</t>
  </si>
  <si>
    <t xml:space="preserve">Pick the month in B3. Shows leave codes per day; weekends and public holidays are shaded.</t>
  </si>
  <si>
    <t xml:space="preserve">Month (1-12)</t>
  </si>
  <si>
    <t xml:space="preserve">Day</t>
  </si>
  <si>
    <t xml:space="preserve">Employee</t>
  </si>
  <si>
    <t xml:space="preserve">Dept</t>
  </si>
  <si>
    <t xml:space="preserve">Staff on leave</t>
  </si>
  <si>
    <t xml:space="preserve">Staff available</t>
  </si>
  <si>
    <t xml:space="preserve">Cover below minimum?</t>
  </si>
  <si>
    <t xml:space="preserve">Legend</t>
  </si>
  <si>
    <t xml:space="preserve">AL – Annual Leave</t>
  </si>
  <si>
    <t xml:space="preserve">SL – Sick Leave</t>
  </si>
  <si>
    <t xml:space="preserve">CL – Casual Leave</t>
  </si>
  <si>
    <t xml:space="preserve">UL – Unpaid Leave</t>
  </si>
  <si>
    <t xml:space="preserve">OT – Other / Training</t>
  </si>
  <si>
    <t xml:space="preserve">Grey = weekend / public holiday</t>
  </si>
  <si>
    <t xml:space="preserve">Edit leave requests on 'Leave Log'; this sheet updates automatically.</t>
  </si>
  <si>
    <t xml:space="preserve">Leave Roster – Setup</t>
  </si>
  <si>
    <t xml:space="preserve">Yellow cells with blue text are inputs you can change. Everything else calculates.</t>
  </si>
  <si>
    <t xml:space="preserve">Roster year</t>
  </si>
  <si>
    <t xml:space="preserve">Minimum staff required per day</t>
  </si>
  <si>
    <t xml:space="preserve">Counted statuses</t>
  </si>
  <si>
    <t xml:space="preserve">Approved and Pending count on the roster; Rejected is ignored.</t>
  </si>
  <si>
    <t xml:space="preserve">Code</t>
  </si>
  <si>
    <t xml:space="preserve">Leave type</t>
  </si>
  <si>
    <t xml:space="preserve">Counts against annual entitlement? (Y/N)</t>
  </si>
  <si>
    <t xml:space="preserve">Colour</t>
  </si>
  <si>
    <t xml:space="preserve">Holiday</t>
  </si>
  <si>
    <t xml:space="preserve">Date</t>
  </si>
  <si>
    <t xml:space="preserve">AL</t>
  </si>
  <si>
    <t xml:space="preserve">Annual Leave</t>
  </si>
  <si>
    <t xml:space="preserve">Y</t>
  </si>
  <si>
    <t xml:space="preserve">C6E0B4</t>
  </si>
  <si>
    <t xml:space="preserve">New Year's Day</t>
  </si>
  <si>
    <t xml:space="preserve">SL</t>
  </si>
  <si>
    <t xml:space="preserve">Sick Leave</t>
  </si>
  <si>
    <t xml:space="preserve">N</t>
  </si>
  <si>
    <t xml:space="preserve">F8CBAD</t>
  </si>
  <si>
    <t xml:space="preserve">Good Friday</t>
  </si>
  <si>
    <t xml:space="preserve">CL</t>
  </si>
  <si>
    <t xml:space="preserve">Casual Leave</t>
  </si>
  <si>
    <t xml:space="preserve">BDD7EE</t>
  </si>
  <si>
    <t xml:space="preserve">Labour Day</t>
  </si>
  <si>
    <t xml:space="preserve">UL</t>
  </si>
  <si>
    <t xml:space="preserve">Unpaid Leave</t>
  </si>
  <si>
    <t xml:space="preserve">D9D9D9</t>
  </si>
  <si>
    <t xml:space="preserve">Independence Day</t>
  </si>
  <si>
    <t xml:space="preserve">OT</t>
  </si>
  <si>
    <t xml:space="preserve">Other / Training</t>
  </si>
  <si>
    <t xml:space="preserve">E4DFEC</t>
  </si>
  <si>
    <t xml:space="preserve">Christmas Day</t>
  </si>
  <si>
    <t xml:space="preserve">Boxing Day</t>
  </si>
  <si>
    <t xml:space="preserve">Sample holidays only (assumed) – replace with your country's official calendar.</t>
  </si>
  <si>
    <t xml:space="preserve">Employees</t>
  </si>
  <si>
    <t xml:space="preserve">Add staff in the yellow rows (up to 20). Annual entitlement is in working days.</t>
  </si>
  <si>
    <t xml:space="preserve">ID</t>
  </si>
  <si>
    <t xml:space="preserve">Employee name</t>
  </si>
  <si>
    <t xml:space="preserve">Department</t>
  </si>
  <si>
    <t xml:space="preserve">Annual leave entitlement (days)</t>
  </si>
  <si>
    <t xml:space="preserve">Carry-over from last year (days)</t>
  </si>
  <si>
    <t xml:space="preserve">Total available (days)</t>
  </si>
  <si>
    <t xml:space="preserve">E001</t>
  </si>
  <si>
    <t xml:space="preserve">Amina Yusuf</t>
  </si>
  <si>
    <t xml:space="preserve">Operations</t>
  </si>
  <si>
    <t xml:space="preserve">E002</t>
  </si>
  <si>
    <t xml:space="preserve">Brian Okafor</t>
  </si>
  <si>
    <t xml:space="preserve">E003</t>
  </si>
  <si>
    <t xml:space="preserve">Chloe Martin</t>
  </si>
  <si>
    <t xml:space="preserve">Finance</t>
  </si>
  <si>
    <t xml:space="preserve">E004</t>
  </si>
  <si>
    <t xml:space="preserve">David Chen</t>
  </si>
  <si>
    <t xml:space="preserve">E005</t>
  </si>
  <si>
    <t xml:space="preserve">Esther Mensah</t>
  </si>
  <si>
    <t xml:space="preserve">HR</t>
  </si>
  <si>
    <t xml:space="preserve">E006</t>
  </si>
  <si>
    <t xml:space="preserve">Farid Khan</t>
  </si>
  <si>
    <t xml:space="preserve">IT</t>
  </si>
  <si>
    <t xml:space="preserve">E007</t>
  </si>
  <si>
    <t xml:space="preserve">Grace Lee</t>
  </si>
  <si>
    <t xml:space="preserve">E008</t>
  </si>
  <si>
    <t xml:space="preserve">Hassan Ali</t>
  </si>
  <si>
    <t xml:space="preserve">Sales</t>
  </si>
  <si>
    <t xml:space="preserve">Leave Log</t>
  </si>
  <si>
    <t xml:space="preserve">One row per leave request. Days = working days (Mon–Fri) excluding public holidays on Setup.</t>
  </si>
  <si>
    <t xml:space="preserve">Leave code</t>
  </si>
  <si>
    <t xml:space="preserve">Start date</t>
  </si>
  <si>
    <t xml:space="preserve">End date</t>
  </si>
  <si>
    <t xml:space="preserve">Working days</t>
  </si>
  <si>
    <t xml:space="preserve">Status</t>
  </si>
  <si>
    <t xml:space="preserve">Notes</t>
  </si>
  <si>
    <t xml:space="preserve">Approved</t>
  </si>
  <si>
    <t xml:space="preserve">Family trip</t>
  </si>
  <si>
    <t xml:space="preserve">Medical certificate on file</t>
  </si>
  <si>
    <t xml:space="preserve">Pending</t>
  </si>
  <si>
    <t xml:space="preserve">Awaiting manager sign-off</t>
  </si>
  <si>
    <t xml:space="preserve">Rejected</t>
  </si>
  <si>
    <t xml:space="preserve">Peak sales period</t>
  </si>
  <si>
    <t xml:space="preserve">HR training course</t>
  </si>
  <si>
    <t xml:space="preserve">Leave Balances</t>
  </si>
  <si>
    <t xml:space="preserve">Only Approved leave is deducted. Pending days are shown separately.</t>
  </si>
  <si>
    <t xml:space="preserve">Total annual available</t>
  </si>
  <si>
    <t xml:space="preserve">Annual Leave used</t>
  </si>
  <si>
    <t xml:space="preserve">Sick Leave used</t>
  </si>
  <si>
    <t xml:space="preserve">Casual Leave used</t>
  </si>
  <si>
    <t xml:space="preserve">Unpaid Leave used</t>
  </si>
  <si>
    <t xml:space="preserve">Other / Training used</t>
  </si>
  <si>
    <t xml:space="preserve">Annual leave pending</t>
  </si>
  <si>
    <t xml:space="preserve">Annual balance remaining</t>
  </si>
  <si>
    <t xml:space="preserve">% annual used</t>
  </si>
  <si>
    <t xml:space="preserve">Total</t>
  </si>
  <si>
    <t xml:space="preserve">Note: 'Annual balance' assumes AL is the only code counted against entitlement (Setup column C is informational).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</si>
</sst>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"/>
    <numFmt numFmtId="166" formatCode="General"/>
    <numFmt numFmtId="167" formatCode="dd\-mmm\-yyyy"/>
    <numFmt numFmtId="168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E4DFEC"/>
      </patternFill>
    </fill>
    <fill>
      <patternFill patternType="solid">
        <fgColor rgb="FFE4DFE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D9D9D9"/>
        </patternFill>
      </fill>
    </dxf>
    <dxf>
      <fill>
        <patternFill>
          <bgColor rgb="FFE4DFEC"/>
        </patternFill>
      </fill>
    </dxf>
    <dxf>
      <fill>
        <patternFill>
          <bgColor rgb="FFEDEDED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strike val="1"/>
        <color rgb="FF808080"/>
      </font>
    </dxf>
    <dxf>
      <font>
        <name val="Arial"/>
        <charset val="1"/>
        <family val="0"/>
        <b val="1"/>
        <color rgb="FFC65911"/>
      </font>
    </dxf>
    <dxf>
      <font>
        <name val="Arial"/>
        <charset val="1"/>
        <family val="0"/>
        <b val="1"/>
        <color rgb="FFC0000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C6E0B4"/>
      <rgbColor rgb="FFFFFF99"/>
      <rgbColor rgb="FFD9D9D9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3" min="3" style="0" width="4.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7.35" hidden="false" customHeight="false" outlineLevel="0" collapsed="false">
      <c r="A3" s="3" t="s">
        <v>2</v>
      </c>
      <c r="B3" s="4" t="n">
        <v>10</v>
      </c>
      <c r="D3" s="5" t="str">
        <f aca="false">TEXT(DATE(Setup!B4,B3,1),"mmmm yyyy")</f>
        <v>October 2026</v>
      </c>
    </row>
    <row r="4" customFormat="false" ht="15" hidden="false" customHeight="false" outlineLevel="0" collapsed="false">
      <c r="A4" s="6" t="s">
        <v>3</v>
      </c>
      <c r="B4" s="7"/>
      <c r="C4" s="8" t="str">
        <f aca="false">IF(C5="","",TEXT(C5,"ddd"))</f>
        <v>Thu</v>
      </c>
      <c r="D4" s="8" t="str">
        <f aca="false">IF(D5="","",TEXT(D5,"ddd"))</f>
        <v>Fri</v>
      </c>
      <c r="E4" s="8" t="str">
        <f aca="false">IF(E5="","",TEXT(E5,"ddd"))</f>
        <v>Sat</v>
      </c>
      <c r="F4" s="8" t="str">
        <f aca="false">IF(F5="","",TEXT(F5,"ddd"))</f>
        <v>Sun</v>
      </c>
      <c r="G4" s="8" t="str">
        <f aca="false">IF(G5="","",TEXT(G5,"ddd"))</f>
        <v>Mon</v>
      </c>
      <c r="H4" s="8" t="str">
        <f aca="false">IF(H5="","",TEXT(H5,"ddd"))</f>
        <v>Tue</v>
      </c>
      <c r="I4" s="8" t="str">
        <f aca="false">IF(I5="","",TEXT(I5,"ddd"))</f>
        <v>Wed</v>
      </c>
      <c r="J4" s="8" t="str">
        <f aca="false">IF(J5="","",TEXT(J5,"ddd"))</f>
        <v>Thu</v>
      </c>
      <c r="K4" s="8" t="str">
        <f aca="false">IF(K5="","",TEXT(K5,"ddd"))</f>
        <v>Fri</v>
      </c>
      <c r="L4" s="8" t="str">
        <f aca="false">IF(L5="","",TEXT(L5,"ddd"))</f>
        <v>Sat</v>
      </c>
      <c r="M4" s="8" t="str">
        <f aca="false">IF(M5="","",TEXT(M5,"ddd"))</f>
        <v>Sun</v>
      </c>
      <c r="N4" s="8" t="str">
        <f aca="false">IF(N5="","",TEXT(N5,"ddd"))</f>
        <v>Mon</v>
      </c>
      <c r="O4" s="8" t="str">
        <f aca="false">IF(O5="","",TEXT(O5,"ddd"))</f>
        <v>Tue</v>
      </c>
      <c r="P4" s="8" t="str">
        <f aca="false">IF(P5="","",TEXT(P5,"ddd"))</f>
        <v>Wed</v>
      </c>
      <c r="Q4" s="8" t="str">
        <f aca="false">IF(Q5="","",TEXT(Q5,"ddd"))</f>
        <v>Thu</v>
      </c>
      <c r="R4" s="8" t="str">
        <f aca="false">IF(R5="","",TEXT(R5,"ddd"))</f>
        <v>Fri</v>
      </c>
      <c r="S4" s="8" t="str">
        <f aca="false">IF(S5="","",TEXT(S5,"ddd"))</f>
        <v>Sat</v>
      </c>
      <c r="T4" s="8" t="str">
        <f aca="false">IF(T5="","",TEXT(T5,"ddd"))</f>
        <v>Sun</v>
      </c>
      <c r="U4" s="8" t="str">
        <f aca="false">IF(U5="","",TEXT(U5,"ddd"))</f>
        <v>Mon</v>
      </c>
      <c r="V4" s="8" t="str">
        <f aca="false">IF(V5="","",TEXT(V5,"ddd"))</f>
        <v>Tue</v>
      </c>
      <c r="W4" s="8" t="str">
        <f aca="false">IF(W5="","",TEXT(W5,"ddd"))</f>
        <v>Wed</v>
      </c>
      <c r="X4" s="8" t="str">
        <f aca="false">IF(X5="","",TEXT(X5,"ddd"))</f>
        <v>Thu</v>
      </c>
      <c r="Y4" s="8" t="str">
        <f aca="false">IF(Y5="","",TEXT(Y5,"ddd"))</f>
        <v>Fri</v>
      </c>
      <c r="Z4" s="8" t="str">
        <f aca="false">IF(Z5="","",TEXT(Z5,"ddd"))</f>
        <v>Sat</v>
      </c>
      <c r="AA4" s="8" t="str">
        <f aca="false">IF(AA5="","",TEXT(AA5,"ddd"))</f>
        <v>Sun</v>
      </c>
      <c r="AB4" s="8" t="str">
        <f aca="false">IF(AB5="","",TEXT(AB5,"ddd"))</f>
        <v>Mon</v>
      </c>
      <c r="AC4" s="8" t="str">
        <f aca="false">IF(AC5="","",TEXT(AC5,"ddd"))</f>
        <v>Tue</v>
      </c>
      <c r="AD4" s="8" t="str">
        <f aca="false">IF(AD5="","",TEXT(AD5,"ddd"))</f>
        <v>Wed</v>
      </c>
      <c r="AE4" s="8" t="str">
        <f aca="false">IF(AE5="","",TEXT(AE5,"ddd"))</f>
        <v>Thu</v>
      </c>
      <c r="AF4" s="8" t="str">
        <f aca="false">IF(AF5="","",TEXT(AF5,"ddd"))</f>
        <v>Fri</v>
      </c>
      <c r="AG4" s="8" t="str">
        <f aca="false">IF(AG5="","",TEXT(AG5,"ddd"))</f>
        <v>Sat</v>
      </c>
    </row>
    <row r="5" customFormat="false" ht="15" hidden="false" customHeight="false" outlineLevel="0" collapsed="false">
      <c r="A5" s="9" t="s">
        <v>4</v>
      </c>
      <c r="B5" s="9" t="s">
        <v>5</v>
      </c>
      <c r="C5" s="10" t="n">
        <f aca="false">IF(1&lt;=DAY(EOMONTH(DATE(Setup!$B$4,$B$3,1),0)),DATE(Setup!$B$4,$B$3,1),"")</f>
        <v>46296</v>
      </c>
      <c r="D5" s="10" t="n">
        <f aca="false">IF(2&lt;=DAY(EOMONTH(DATE(Setup!$B$4,$B$3,1),0)),DATE(Setup!$B$4,$B$3,2),"")</f>
        <v>46297</v>
      </c>
      <c r="E5" s="10" t="n">
        <f aca="false">IF(3&lt;=DAY(EOMONTH(DATE(Setup!$B$4,$B$3,1),0)),DATE(Setup!$B$4,$B$3,3),"")</f>
        <v>46298</v>
      </c>
      <c r="F5" s="10" t="n">
        <f aca="false">IF(4&lt;=DAY(EOMONTH(DATE(Setup!$B$4,$B$3,1),0)),DATE(Setup!$B$4,$B$3,4),"")</f>
        <v>46299</v>
      </c>
      <c r="G5" s="10" t="n">
        <f aca="false">IF(5&lt;=DAY(EOMONTH(DATE(Setup!$B$4,$B$3,1),0)),DATE(Setup!$B$4,$B$3,5),"")</f>
        <v>46300</v>
      </c>
      <c r="H5" s="10" t="n">
        <f aca="false">IF(6&lt;=DAY(EOMONTH(DATE(Setup!$B$4,$B$3,1),0)),DATE(Setup!$B$4,$B$3,6),"")</f>
        <v>46301</v>
      </c>
      <c r="I5" s="10" t="n">
        <f aca="false">IF(7&lt;=DAY(EOMONTH(DATE(Setup!$B$4,$B$3,1),0)),DATE(Setup!$B$4,$B$3,7),"")</f>
        <v>46302</v>
      </c>
      <c r="J5" s="10" t="n">
        <f aca="false">IF(8&lt;=DAY(EOMONTH(DATE(Setup!$B$4,$B$3,1),0)),DATE(Setup!$B$4,$B$3,8),"")</f>
        <v>46303</v>
      </c>
      <c r="K5" s="10" t="n">
        <f aca="false">IF(9&lt;=DAY(EOMONTH(DATE(Setup!$B$4,$B$3,1),0)),DATE(Setup!$B$4,$B$3,9),"")</f>
        <v>46304</v>
      </c>
      <c r="L5" s="10" t="n">
        <f aca="false">IF(10&lt;=DAY(EOMONTH(DATE(Setup!$B$4,$B$3,1),0)),DATE(Setup!$B$4,$B$3,10),"")</f>
        <v>46305</v>
      </c>
      <c r="M5" s="10" t="n">
        <f aca="false">IF(11&lt;=DAY(EOMONTH(DATE(Setup!$B$4,$B$3,1),0)),DATE(Setup!$B$4,$B$3,11),"")</f>
        <v>46306</v>
      </c>
      <c r="N5" s="10" t="n">
        <f aca="false">IF(12&lt;=DAY(EOMONTH(DATE(Setup!$B$4,$B$3,1),0)),DATE(Setup!$B$4,$B$3,12),"")</f>
        <v>46307</v>
      </c>
      <c r="O5" s="10" t="n">
        <f aca="false">IF(13&lt;=DAY(EOMONTH(DATE(Setup!$B$4,$B$3,1),0)),DATE(Setup!$B$4,$B$3,13),"")</f>
        <v>46308</v>
      </c>
      <c r="P5" s="10" t="n">
        <f aca="false">IF(14&lt;=DAY(EOMONTH(DATE(Setup!$B$4,$B$3,1),0)),DATE(Setup!$B$4,$B$3,14),"")</f>
        <v>46309</v>
      </c>
      <c r="Q5" s="10" t="n">
        <f aca="false">IF(15&lt;=DAY(EOMONTH(DATE(Setup!$B$4,$B$3,1),0)),DATE(Setup!$B$4,$B$3,15),"")</f>
        <v>46310</v>
      </c>
      <c r="R5" s="10" t="n">
        <f aca="false">IF(16&lt;=DAY(EOMONTH(DATE(Setup!$B$4,$B$3,1),0)),DATE(Setup!$B$4,$B$3,16),"")</f>
        <v>46311</v>
      </c>
      <c r="S5" s="10" t="n">
        <f aca="false">IF(17&lt;=DAY(EOMONTH(DATE(Setup!$B$4,$B$3,1),0)),DATE(Setup!$B$4,$B$3,17),"")</f>
        <v>46312</v>
      </c>
      <c r="T5" s="10" t="n">
        <f aca="false">IF(18&lt;=DAY(EOMONTH(DATE(Setup!$B$4,$B$3,1),0)),DATE(Setup!$B$4,$B$3,18),"")</f>
        <v>46313</v>
      </c>
      <c r="U5" s="10" t="n">
        <f aca="false">IF(19&lt;=DAY(EOMONTH(DATE(Setup!$B$4,$B$3,1),0)),DATE(Setup!$B$4,$B$3,19),"")</f>
        <v>46314</v>
      </c>
      <c r="V5" s="10" t="n">
        <f aca="false">IF(20&lt;=DAY(EOMONTH(DATE(Setup!$B$4,$B$3,1),0)),DATE(Setup!$B$4,$B$3,20),"")</f>
        <v>46315</v>
      </c>
      <c r="W5" s="10" t="n">
        <f aca="false">IF(21&lt;=DAY(EOMONTH(DATE(Setup!$B$4,$B$3,1),0)),DATE(Setup!$B$4,$B$3,21),"")</f>
        <v>46316</v>
      </c>
      <c r="X5" s="10" t="n">
        <f aca="false">IF(22&lt;=DAY(EOMONTH(DATE(Setup!$B$4,$B$3,1),0)),DATE(Setup!$B$4,$B$3,22),"")</f>
        <v>46317</v>
      </c>
      <c r="Y5" s="10" t="n">
        <f aca="false">IF(23&lt;=DAY(EOMONTH(DATE(Setup!$B$4,$B$3,1),0)),DATE(Setup!$B$4,$B$3,23),"")</f>
        <v>46318</v>
      </c>
      <c r="Z5" s="10" t="n">
        <f aca="false">IF(24&lt;=DAY(EOMONTH(DATE(Setup!$B$4,$B$3,1),0)),DATE(Setup!$B$4,$B$3,24),"")</f>
        <v>46319</v>
      </c>
      <c r="AA5" s="10" t="n">
        <f aca="false">IF(25&lt;=DAY(EOMONTH(DATE(Setup!$B$4,$B$3,1),0)),DATE(Setup!$B$4,$B$3,25),"")</f>
        <v>46320</v>
      </c>
      <c r="AB5" s="10" t="n">
        <f aca="false">IF(26&lt;=DAY(EOMONTH(DATE(Setup!$B$4,$B$3,1),0)),DATE(Setup!$B$4,$B$3,26),"")</f>
        <v>46321</v>
      </c>
      <c r="AC5" s="10" t="n">
        <f aca="false">IF(27&lt;=DAY(EOMONTH(DATE(Setup!$B$4,$B$3,1),0)),DATE(Setup!$B$4,$B$3,27),"")</f>
        <v>46322</v>
      </c>
      <c r="AD5" s="10" t="n">
        <f aca="false">IF(28&lt;=DAY(EOMONTH(DATE(Setup!$B$4,$B$3,1),0)),DATE(Setup!$B$4,$B$3,28),"")</f>
        <v>46323</v>
      </c>
      <c r="AE5" s="10" t="n">
        <f aca="false">IF(29&lt;=DAY(EOMONTH(DATE(Setup!$B$4,$B$3,1),0)),DATE(Setup!$B$4,$B$3,29),"")</f>
        <v>46324</v>
      </c>
      <c r="AF5" s="10" t="n">
        <f aca="false">IF(30&lt;=DAY(EOMONTH(DATE(Setup!$B$4,$B$3,1),0)),DATE(Setup!$B$4,$B$3,30),"")</f>
        <v>46325</v>
      </c>
      <c r="AG5" s="10" t="n">
        <f aca="false">IF(31&lt;=DAY(EOMONTH(DATE(Setup!$B$4,$B$3,1),0)),DATE(Setup!$B$4,$B$3,31),"")</f>
        <v>46326</v>
      </c>
    </row>
    <row r="6" customFormat="false" ht="15" hidden="false" customHeight="false" outlineLevel="0" collapsed="false">
      <c r="A6" s="3" t="str">
        <f aca="false">IF(Employees!B5="","",Employees!B5)</f>
        <v>Amina Yusuf</v>
      </c>
      <c r="B6" s="11" t="str">
        <f aca="false">IF(Employees!B5="","",Employees!C5)</f>
        <v>Operations</v>
      </c>
      <c r="C6" s="12" t="str">
        <f aca="false">IF(OR(C$5="",$A6=""),"",IF(COUNTIFS('Leave Log'!$A$5:$A$304,$A6,'Leave Log'!$C$5:$C$304,"&lt;="&amp;C$5,'Leave Log'!$D$5:$D$304,"&gt;="&amp;C$5,'Leave Log'!$F$5:$F$304,"&lt;&gt;Rejected",'Leave Log'!$B$5:$B$304,"AL")&gt;0,"AL",IF(COUNTIFS('Leave Log'!$A$5:$A$304,$A6,'Leave Log'!$C$5:$C$304,"&lt;="&amp;C$5,'Leave Log'!$D$5:$D$304,"&gt;="&amp;C$5,'Leave Log'!$F$5:$F$304,"&lt;&gt;Rejected",'Leave Log'!$B$5:$B$304,"SL")&gt;0,"SL",IF(COUNTIFS('Leave Log'!$A$5:$A$304,$A6,'Leave Log'!$C$5:$C$304,"&lt;="&amp;C$5,'Leave Log'!$D$5:$D$304,"&gt;="&amp;C$5,'Leave Log'!$F$5:$F$304,"&lt;&gt;Rejected",'Leave Log'!$B$5:$B$304,"CL")&gt;0,"CL",IF(COUNTIFS('Leave Log'!$A$5:$A$304,$A6,'Leave Log'!$C$5:$C$304,"&lt;="&amp;C$5,'Leave Log'!$D$5:$D$304,"&gt;="&amp;C$5,'Leave Log'!$F$5:$F$304,"&lt;&gt;Rejected",'Leave Log'!$B$5:$B$304,"UL")&gt;0,"UL",IF(COUNTIFS('Leave Log'!$A$5:$A$304,$A6,'Leave Log'!$C$5:$C$304,"&lt;="&amp;C$5,'Leave Log'!$D$5:$D$304,"&gt;="&amp;C$5,'Leave Log'!$F$5:$F$304,"&lt;&gt;Rejected",'Leave Log'!$B$5:$B$304,"OT")&gt;0,"OT",""))))))</f>
        <v/>
      </c>
      <c r="D6" s="12" t="str">
        <f aca="false">IF(OR(D$5="",$A6=""),"",IF(COUNTIFS('Leave Log'!$A$5:$A$304,$A6,'Leave Log'!$C$5:$C$304,"&lt;="&amp;D$5,'Leave Log'!$D$5:$D$304,"&gt;="&amp;D$5,'Leave Log'!$F$5:$F$304,"&lt;&gt;Rejected",'Leave Log'!$B$5:$B$304,"AL")&gt;0,"AL",IF(COUNTIFS('Leave Log'!$A$5:$A$304,$A6,'Leave Log'!$C$5:$C$304,"&lt;="&amp;D$5,'Leave Log'!$D$5:$D$304,"&gt;="&amp;D$5,'Leave Log'!$F$5:$F$304,"&lt;&gt;Rejected",'Leave Log'!$B$5:$B$304,"SL")&gt;0,"SL",IF(COUNTIFS('Leave Log'!$A$5:$A$304,$A6,'Leave Log'!$C$5:$C$304,"&lt;="&amp;D$5,'Leave Log'!$D$5:$D$304,"&gt;="&amp;D$5,'Leave Log'!$F$5:$F$304,"&lt;&gt;Rejected",'Leave Log'!$B$5:$B$304,"CL")&gt;0,"CL",IF(COUNTIFS('Leave Log'!$A$5:$A$304,$A6,'Leave Log'!$C$5:$C$304,"&lt;="&amp;D$5,'Leave Log'!$D$5:$D$304,"&gt;="&amp;D$5,'Leave Log'!$F$5:$F$304,"&lt;&gt;Rejected",'Leave Log'!$B$5:$B$304,"UL")&gt;0,"UL",IF(COUNTIFS('Leave Log'!$A$5:$A$304,$A6,'Leave Log'!$C$5:$C$304,"&lt;="&amp;D$5,'Leave Log'!$D$5:$D$304,"&gt;="&amp;D$5,'Leave Log'!$F$5:$F$304,"&lt;&gt;Rejected",'Leave Log'!$B$5:$B$304,"OT")&gt;0,"OT",""))))))</f>
        <v/>
      </c>
      <c r="E6" s="12" t="str">
        <f aca="false">IF(OR(E$5="",$A6=""),"",IF(COUNTIFS('Leave Log'!$A$5:$A$304,$A6,'Leave Log'!$C$5:$C$304,"&lt;="&amp;E$5,'Leave Log'!$D$5:$D$304,"&gt;="&amp;E$5,'Leave Log'!$F$5:$F$304,"&lt;&gt;Rejected",'Leave Log'!$B$5:$B$304,"AL")&gt;0,"AL",IF(COUNTIFS('Leave Log'!$A$5:$A$304,$A6,'Leave Log'!$C$5:$C$304,"&lt;="&amp;E$5,'Leave Log'!$D$5:$D$304,"&gt;="&amp;E$5,'Leave Log'!$F$5:$F$304,"&lt;&gt;Rejected",'Leave Log'!$B$5:$B$304,"SL")&gt;0,"SL",IF(COUNTIFS('Leave Log'!$A$5:$A$304,$A6,'Leave Log'!$C$5:$C$304,"&lt;="&amp;E$5,'Leave Log'!$D$5:$D$304,"&gt;="&amp;E$5,'Leave Log'!$F$5:$F$304,"&lt;&gt;Rejected",'Leave Log'!$B$5:$B$304,"CL")&gt;0,"CL",IF(COUNTIFS('Leave Log'!$A$5:$A$304,$A6,'Leave Log'!$C$5:$C$304,"&lt;="&amp;E$5,'Leave Log'!$D$5:$D$304,"&gt;="&amp;E$5,'Leave Log'!$F$5:$F$304,"&lt;&gt;Rejected",'Leave Log'!$B$5:$B$304,"UL")&gt;0,"UL",IF(COUNTIFS('Leave Log'!$A$5:$A$304,$A6,'Leave Log'!$C$5:$C$304,"&lt;="&amp;E$5,'Leave Log'!$D$5:$D$304,"&gt;="&amp;E$5,'Leave Log'!$F$5:$F$304,"&lt;&gt;Rejected",'Leave Log'!$B$5:$B$304,"OT")&gt;0,"OT",""))))))</f>
        <v/>
      </c>
      <c r="F6" s="12" t="str">
        <f aca="false">IF(OR(F$5="",$A6=""),"",IF(COUNTIFS('Leave Log'!$A$5:$A$304,$A6,'Leave Log'!$C$5:$C$304,"&lt;="&amp;F$5,'Leave Log'!$D$5:$D$304,"&gt;="&amp;F$5,'Leave Log'!$F$5:$F$304,"&lt;&gt;Rejected",'Leave Log'!$B$5:$B$304,"AL")&gt;0,"AL",IF(COUNTIFS('Leave Log'!$A$5:$A$304,$A6,'Leave Log'!$C$5:$C$304,"&lt;="&amp;F$5,'Leave Log'!$D$5:$D$304,"&gt;="&amp;F$5,'Leave Log'!$F$5:$F$304,"&lt;&gt;Rejected",'Leave Log'!$B$5:$B$304,"SL")&gt;0,"SL",IF(COUNTIFS('Leave Log'!$A$5:$A$304,$A6,'Leave Log'!$C$5:$C$304,"&lt;="&amp;F$5,'Leave Log'!$D$5:$D$304,"&gt;="&amp;F$5,'Leave Log'!$F$5:$F$304,"&lt;&gt;Rejected",'Leave Log'!$B$5:$B$304,"CL")&gt;0,"CL",IF(COUNTIFS('Leave Log'!$A$5:$A$304,$A6,'Leave Log'!$C$5:$C$304,"&lt;="&amp;F$5,'Leave Log'!$D$5:$D$304,"&gt;="&amp;F$5,'Leave Log'!$F$5:$F$304,"&lt;&gt;Rejected",'Leave Log'!$B$5:$B$304,"UL")&gt;0,"UL",IF(COUNTIFS('Leave Log'!$A$5:$A$304,$A6,'Leave Log'!$C$5:$C$304,"&lt;="&amp;F$5,'Leave Log'!$D$5:$D$304,"&gt;="&amp;F$5,'Leave Log'!$F$5:$F$304,"&lt;&gt;Rejected",'Leave Log'!$B$5:$B$304,"OT")&gt;0,"OT",""))))))</f>
        <v/>
      </c>
      <c r="G6" s="12" t="str">
        <f aca="false">IF(OR(G$5="",$A6=""),"",IF(COUNTIFS('Leave Log'!$A$5:$A$304,$A6,'Leave Log'!$C$5:$C$304,"&lt;="&amp;G$5,'Leave Log'!$D$5:$D$304,"&gt;="&amp;G$5,'Leave Log'!$F$5:$F$304,"&lt;&gt;Rejected",'Leave Log'!$B$5:$B$304,"AL")&gt;0,"AL",IF(COUNTIFS('Leave Log'!$A$5:$A$304,$A6,'Leave Log'!$C$5:$C$304,"&lt;="&amp;G$5,'Leave Log'!$D$5:$D$304,"&gt;="&amp;G$5,'Leave Log'!$F$5:$F$304,"&lt;&gt;Rejected",'Leave Log'!$B$5:$B$304,"SL")&gt;0,"SL",IF(COUNTIFS('Leave Log'!$A$5:$A$304,$A6,'Leave Log'!$C$5:$C$304,"&lt;="&amp;G$5,'Leave Log'!$D$5:$D$304,"&gt;="&amp;G$5,'Leave Log'!$F$5:$F$304,"&lt;&gt;Rejected",'Leave Log'!$B$5:$B$304,"CL")&gt;0,"CL",IF(COUNTIFS('Leave Log'!$A$5:$A$304,$A6,'Leave Log'!$C$5:$C$304,"&lt;="&amp;G$5,'Leave Log'!$D$5:$D$304,"&gt;="&amp;G$5,'Leave Log'!$F$5:$F$304,"&lt;&gt;Rejected",'Leave Log'!$B$5:$B$304,"UL")&gt;0,"UL",IF(COUNTIFS('Leave Log'!$A$5:$A$304,$A6,'Leave Log'!$C$5:$C$304,"&lt;="&amp;G$5,'Leave Log'!$D$5:$D$304,"&gt;="&amp;G$5,'Leave Log'!$F$5:$F$304,"&lt;&gt;Rejected",'Leave Log'!$B$5:$B$304,"OT")&gt;0,"OT",""))))))</f>
        <v/>
      </c>
      <c r="H6" s="12" t="str">
        <f aca="false">IF(OR(H$5="",$A6=""),"",IF(COUNTIFS('Leave Log'!$A$5:$A$304,$A6,'Leave Log'!$C$5:$C$304,"&lt;="&amp;H$5,'Leave Log'!$D$5:$D$304,"&gt;="&amp;H$5,'Leave Log'!$F$5:$F$304,"&lt;&gt;Rejected",'Leave Log'!$B$5:$B$304,"AL")&gt;0,"AL",IF(COUNTIFS('Leave Log'!$A$5:$A$304,$A6,'Leave Log'!$C$5:$C$304,"&lt;="&amp;H$5,'Leave Log'!$D$5:$D$304,"&gt;="&amp;H$5,'Leave Log'!$F$5:$F$304,"&lt;&gt;Rejected",'Leave Log'!$B$5:$B$304,"SL")&gt;0,"SL",IF(COUNTIFS('Leave Log'!$A$5:$A$304,$A6,'Leave Log'!$C$5:$C$304,"&lt;="&amp;H$5,'Leave Log'!$D$5:$D$304,"&gt;="&amp;H$5,'Leave Log'!$F$5:$F$304,"&lt;&gt;Rejected",'Leave Log'!$B$5:$B$304,"CL")&gt;0,"CL",IF(COUNTIFS('Leave Log'!$A$5:$A$304,$A6,'Leave Log'!$C$5:$C$304,"&lt;="&amp;H$5,'Leave Log'!$D$5:$D$304,"&gt;="&amp;H$5,'Leave Log'!$F$5:$F$304,"&lt;&gt;Rejected",'Leave Log'!$B$5:$B$304,"UL")&gt;0,"UL",IF(COUNTIFS('Leave Log'!$A$5:$A$304,$A6,'Leave Log'!$C$5:$C$304,"&lt;="&amp;H$5,'Leave Log'!$D$5:$D$304,"&gt;="&amp;H$5,'Leave Log'!$F$5:$F$304,"&lt;&gt;Rejected",'Leave Log'!$B$5:$B$304,"OT")&gt;0,"OT",""))))))</f>
        <v/>
      </c>
      <c r="I6" s="12" t="str">
        <f aca="false">IF(OR(I$5="",$A6=""),"",IF(COUNTIFS('Leave Log'!$A$5:$A$304,$A6,'Leave Log'!$C$5:$C$304,"&lt;="&amp;I$5,'Leave Log'!$D$5:$D$304,"&gt;="&amp;I$5,'Leave Log'!$F$5:$F$304,"&lt;&gt;Rejected",'Leave Log'!$B$5:$B$304,"AL")&gt;0,"AL",IF(COUNTIFS('Leave Log'!$A$5:$A$304,$A6,'Leave Log'!$C$5:$C$304,"&lt;="&amp;I$5,'Leave Log'!$D$5:$D$304,"&gt;="&amp;I$5,'Leave Log'!$F$5:$F$304,"&lt;&gt;Rejected",'Leave Log'!$B$5:$B$304,"SL")&gt;0,"SL",IF(COUNTIFS('Leave Log'!$A$5:$A$304,$A6,'Leave Log'!$C$5:$C$304,"&lt;="&amp;I$5,'Leave Log'!$D$5:$D$304,"&gt;="&amp;I$5,'Leave Log'!$F$5:$F$304,"&lt;&gt;Rejected",'Leave Log'!$B$5:$B$304,"CL")&gt;0,"CL",IF(COUNTIFS('Leave Log'!$A$5:$A$304,$A6,'Leave Log'!$C$5:$C$304,"&lt;="&amp;I$5,'Leave Log'!$D$5:$D$304,"&gt;="&amp;I$5,'Leave Log'!$F$5:$F$304,"&lt;&gt;Rejected",'Leave Log'!$B$5:$B$304,"UL")&gt;0,"UL",IF(COUNTIFS('Leave Log'!$A$5:$A$304,$A6,'Leave Log'!$C$5:$C$304,"&lt;="&amp;I$5,'Leave Log'!$D$5:$D$304,"&gt;="&amp;I$5,'Leave Log'!$F$5:$F$304,"&lt;&gt;Rejected",'Leave Log'!$B$5:$B$304,"OT")&gt;0,"OT",""))))))</f>
        <v/>
      </c>
      <c r="J6" s="12" t="str">
        <f aca="false">IF(OR(J$5="",$A6=""),"",IF(COUNTIFS('Leave Log'!$A$5:$A$304,$A6,'Leave Log'!$C$5:$C$304,"&lt;="&amp;J$5,'Leave Log'!$D$5:$D$304,"&gt;="&amp;J$5,'Leave Log'!$F$5:$F$304,"&lt;&gt;Rejected",'Leave Log'!$B$5:$B$304,"AL")&gt;0,"AL",IF(COUNTIFS('Leave Log'!$A$5:$A$304,$A6,'Leave Log'!$C$5:$C$304,"&lt;="&amp;J$5,'Leave Log'!$D$5:$D$304,"&gt;="&amp;J$5,'Leave Log'!$F$5:$F$304,"&lt;&gt;Rejected",'Leave Log'!$B$5:$B$304,"SL")&gt;0,"SL",IF(COUNTIFS('Leave Log'!$A$5:$A$304,$A6,'Leave Log'!$C$5:$C$304,"&lt;="&amp;J$5,'Leave Log'!$D$5:$D$304,"&gt;="&amp;J$5,'Leave Log'!$F$5:$F$304,"&lt;&gt;Rejected",'Leave Log'!$B$5:$B$304,"CL")&gt;0,"CL",IF(COUNTIFS('Leave Log'!$A$5:$A$304,$A6,'Leave Log'!$C$5:$C$304,"&lt;="&amp;J$5,'Leave Log'!$D$5:$D$304,"&gt;="&amp;J$5,'Leave Log'!$F$5:$F$304,"&lt;&gt;Rejected",'Leave Log'!$B$5:$B$304,"UL")&gt;0,"UL",IF(COUNTIFS('Leave Log'!$A$5:$A$304,$A6,'Leave Log'!$C$5:$C$304,"&lt;="&amp;J$5,'Leave Log'!$D$5:$D$304,"&gt;="&amp;J$5,'Leave Log'!$F$5:$F$304,"&lt;&gt;Rejected",'Leave Log'!$B$5:$B$304,"OT")&gt;0,"OT",""))))))</f>
        <v/>
      </c>
      <c r="K6" s="12" t="str">
        <f aca="false">IF(OR(K$5="",$A6=""),"",IF(COUNTIFS('Leave Log'!$A$5:$A$304,$A6,'Leave Log'!$C$5:$C$304,"&lt;="&amp;K$5,'Leave Log'!$D$5:$D$304,"&gt;="&amp;K$5,'Leave Log'!$F$5:$F$304,"&lt;&gt;Rejected",'Leave Log'!$B$5:$B$304,"AL")&gt;0,"AL",IF(COUNTIFS('Leave Log'!$A$5:$A$304,$A6,'Leave Log'!$C$5:$C$304,"&lt;="&amp;K$5,'Leave Log'!$D$5:$D$304,"&gt;="&amp;K$5,'Leave Log'!$F$5:$F$304,"&lt;&gt;Rejected",'Leave Log'!$B$5:$B$304,"SL")&gt;0,"SL",IF(COUNTIFS('Leave Log'!$A$5:$A$304,$A6,'Leave Log'!$C$5:$C$304,"&lt;="&amp;K$5,'Leave Log'!$D$5:$D$304,"&gt;="&amp;K$5,'Leave Log'!$F$5:$F$304,"&lt;&gt;Rejected",'Leave Log'!$B$5:$B$304,"CL")&gt;0,"CL",IF(COUNTIFS('Leave Log'!$A$5:$A$304,$A6,'Leave Log'!$C$5:$C$304,"&lt;="&amp;K$5,'Leave Log'!$D$5:$D$304,"&gt;="&amp;K$5,'Leave Log'!$F$5:$F$304,"&lt;&gt;Rejected",'Leave Log'!$B$5:$B$304,"UL")&gt;0,"UL",IF(COUNTIFS('Leave Log'!$A$5:$A$304,$A6,'Leave Log'!$C$5:$C$304,"&lt;="&amp;K$5,'Leave Log'!$D$5:$D$304,"&gt;="&amp;K$5,'Leave Log'!$F$5:$F$304,"&lt;&gt;Rejected",'Leave Log'!$B$5:$B$304,"OT")&gt;0,"OT",""))))))</f>
        <v/>
      </c>
      <c r="L6" s="12" t="str">
        <f aca="false">IF(OR(L$5="",$A6=""),"",IF(COUNTIFS('Leave Log'!$A$5:$A$304,$A6,'Leave Log'!$C$5:$C$304,"&lt;="&amp;L$5,'Leave Log'!$D$5:$D$304,"&gt;="&amp;L$5,'Leave Log'!$F$5:$F$304,"&lt;&gt;Rejected",'Leave Log'!$B$5:$B$304,"AL")&gt;0,"AL",IF(COUNTIFS('Leave Log'!$A$5:$A$304,$A6,'Leave Log'!$C$5:$C$304,"&lt;="&amp;L$5,'Leave Log'!$D$5:$D$304,"&gt;="&amp;L$5,'Leave Log'!$F$5:$F$304,"&lt;&gt;Rejected",'Leave Log'!$B$5:$B$304,"SL")&gt;0,"SL",IF(COUNTIFS('Leave Log'!$A$5:$A$304,$A6,'Leave Log'!$C$5:$C$304,"&lt;="&amp;L$5,'Leave Log'!$D$5:$D$304,"&gt;="&amp;L$5,'Leave Log'!$F$5:$F$304,"&lt;&gt;Rejected",'Leave Log'!$B$5:$B$304,"CL")&gt;0,"CL",IF(COUNTIFS('Leave Log'!$A$5:$A$304,$A6,'Leave Log'!$C$5:$C$304,"&lt;="&amp;L$5,'Leave Log'!$D$5:$D$304,"&gt;="&amp;L$5,'Leave Log'!$F$5:$F$304,"&lt;&gt;Rejected",'Leave Log'!$B$5:$B$304,"UL")&gt;0,"UL",IF(COUNTIFS('Leave Log'!$A$5:$A$304,$A6,'Leave Log'!$C$5:$C$304,"&lt;="&amp;L$5,'Leave Log'!$D$5:$D$304,"&gt;="&amp;L$5,'Leave Log'!$F$5:$F$304,"&lt;&gt;Rejected",'Leave Log'!$B$5:$B$304,"OT")&gt;0,"OT",""))))))</f>
        <v/>
      </c>
      <c r="M6" s="12" t="str">
        <f aca="false">IF(OR(M$5="",$A6=""),"",IF(COUNTIFS('Leave Log'!$A$5:$A$304,$A6,'Leave Log'!$C$5:$C$304,"&lt;="&amp;M$5,'Leave Log'!$D$5:$D$304,"&gt;="&amp;M$5,'Leave Log'!$F$5:$F$304,"&lt;&gt;Rejected",'Leave Log'!$B$5:$B$304,"AL")&gt;0,"AL",IF(COUNTIFS('Leave Log'!$A$5:$A$304,$A6,'Leave Log'!$C$5:$C$304,"&lt;="&amp;M$5,'Leave Log'!$D$5:$D$304,"&gt;="&amp;M$5,'Leave Log'!$F$5:$F$304,"&lt;&gt;Rejected",'Leave Log'!$B$5:$B$304,"SL")&gt;0,"SL",IF(COUNTIFS('Leave Log'!$A$5:$A$304,$A6,'Leave Log'!$C$5:$C$304,"&lt;="&amp;M$5,'Leave Log'!$D$5:$D$304,"&gt;="&amp;M$5,'Leave Log'!$F$5:$F$304,"&lt;&gt;Rejected",'Leave Log'!$B$5:$B$304,"CL")&gt;0,"CL",IF(COUNTIFS('Leave Log'!$A$5:$A$304,$A6,'Leave Log'!$C$5:$C$304,"&lt;="&amp;M$5,'Leave Log'!$D$5:$D$304,"&gt;="&amp;M$5,'Leave Log'!$F$5:$F$304,"&lt;&gt;Rejected",'Leave Log'!$B$5:$B$304,"UL")&gt;0,"UL",IF(COUNTIFS('Leave Log'!$A$5:$A$304,$A6,'Leave Log'!$C$5:$C$304,"&lt;="&amp;M$5,'Leave Log'!$D$5:$D$304,"&gt;="&amp;M$5,'Leave Log'!$F$5:$F$304,"&lt;&gt;Rejected",'Leave Log'!$B$5:$B$304,"OT")&gt;0,"OT",""))))))</f>
        <v/>
      </c>
      <c r="N6" s="12" t="str">
        <f aca="false">IF(OR(N$5="",$A6=""),"",IF(COUNTIFS('Leave Log'!$A$5:$A$304,$A6,'Leave Log'!$C$5:$C$304,"&lt;="&amp;N$5,'Leave Log'!$D$5:$D$304,"&gt;="&amp;N$5,'Leave Log'!$F$5:$F$304,"&lt;&gt;Rejected",'Leave Log'!$B$5:$B$304,"AL")&gt;0,"AL",IF(COUNTIFS('Leave Log'!$A$5:$A$304,$A6,'Leave Log'!$C$5:$C$304,"&lt;="&amp;N$5,'Leave Log'!$D$5:$D$304,"&gt;="&amp;N$5,'Leave Log'!$F$5:$F$304,"&lt;&gt;Rejected",'Leave Log'!$B$5:$B$304,"SL")&gt;0,"SL",IF(COUNTIFS('Leave Log'!$A$5:$A$304,$A6,'Leave Log'!$C$5:$C$304,"&lt;="&amp;N$5,'Leave Log'!$D$5:$D$304,"&gt;="&amp;N$5,'Leave Log'!$F$5:$F$304,"&lt;&gt;Rejected",'Leave Log'!$B$5:$B$304,"CL")&gt;0,"CL",IF(COUNTIFS('Leave Log'!$A$5:$A$304,$A6,'Leave Log'!$C$5:$C$304,"&lt;="&amp;N$5,'Leave Log'!$D$5:$D$304,"&gt;="&amp;N$5,'Leave Log'!$F$5:$F$304,"&lt;&gt;Rejected",'Leave Log'!$B$5:$B$304,"UL")&gt;0,"UL",IF(COUNTIFS('Leave Log'!$A$5:$A$304,$A6,'Leave Log'!$C$5:$C$304,"&lt;="&amp;N$5,'Leave Log'!$D$5:$D$304,"&gt;="&amp;N$5,'Leave Log'!$F$5:$F$304,"&lt;&gt;Rejected",'Leave Log'!$B$5:$B$304,"OT")&gt;0,"OT",""))))))</f>
        <v/>
      </c>
      <c r="O6" s="12" t="str">
        <f aca="false">IF(OR(O$5="",$A6=""),"",IF(COUNTIFS('Leave Log'!$A$5:$A$304,$A6,'Leave Log'!$C$5:$C$304,"&lt;="&amp;O$5,'Leave Log'!$D$5:$D$304,"&gt;="&amp;O$5,'Leave Log'!$F$5:$F$304,"&lt;&gt;Rejected",'Leave Log'!$B$5:$B$304,"AL")&gt;0,"AL",IF(COUNTIFS('Leave Log'!$A$5:$A$304,$A6,'Leave Log'!$C$5:$C$304,"&lt;="&amp;O$5,'Leave Log'!$D$5:$D$304,"&gt;="&amp;O$5,'Leave Log'!$F$5:$F$304,"&lt;&gt;Rejected",'Leave Log'!$B$5:$B$304,"SL")&gt;0,"SL",IF(COUNTIFS('Leave Log'!$A$5:$A$304,$A6,'Leave Log'!$C$5:$C$304,"&lt;="&amp;O$5,'Leave Log'!$D$5:$D$304,"&gt;="&amp;O$5,'Leave Log'!$F$5:$F$304,"&lt;&gt;Rejected",'Leave Log'!$B$5:$B$304,"CL")&gt;0,"CL",IF(COUNTIFS('Leave Log'!$A$5:$A$304,$A6,'Leave Log'!$C$5:$C$304,"&lt;="&amp;O$5,'Leave Log'!$D$5:$D$304,"&gt;="&amp;O$5,'Leave Log'!$F$5:$F$304,"&lt;&gt;Rejected",'Leave Log'!$B$5:$B$304,"UL")&gt;0,"UL",IF(COUNTIFS('Leave Log'!$A$5:$A$304,$A6,'Leave Log'!$C$5:$C$304,"&lt;="&amp;O$5,'Leave Log'!$D$5:$D$304,"&gt;="&amp;O$5,'Leave Log'!$F$5:$F$304,"&lt;&gt;Rejected",'Leave Log'!$B$5:$B$304,"OT")&gt;0,"OT",""))))))</f>
        <v/>
      </c>
      <c r="P6" s="12" t="str">
        <f aca="false">IF(OR(P$5="",$A6=""),"",IF(COUNTIFS('Leave Log'!$A$5:$A$304,$A6,'Leave Log'!$C$5:$C$304,"&lt;="&amp;P$5,'Leave Log'!$D$5:$D$304,"&gt;="&amp;P$5,'Leave Log'!$F$5:$F$304,"&lt;&gt;Rejected",'Leave Log'!$B$5:$B$304,"AL")&gt;0,"AL",IF(COUNTIFS('Leave Log'!$A$5:$A$304,$A6,'Leave Log'!$C$5:$C$304,"&lt;="&amp;P$5,'Leave Log'!$D$5:$D$304,"&gt;="&amp;P$5,'Leave Log'!$F$5:$F$304,"&lt;&gt;Rejected",'Leave Log'!$B$5:$B$304,"SL")&gt;0,"SL",IF(COUNTIFS('Leave Log'!$A$5:$A$304,$A6,'Leave Log'!$C$5:$C$304,"&lt;="&amp;P$5,'Leave Log'!$D$5:$D$304,"&gt;="&amp;P$5,'Leave Log'!$F$5:$F$304,"&lt;&gt;Rejected",'Leave Log'!$B$5:$B$304,"CL")&gt;0,"CL",IF(COUNTIFS('Leave Log'!$A$5:$A$304,$A6,'Leave Log'!$C$5:$C$304,"&lt;="&amp;P$5,'Leave Log'!$D$5:$D$304,"&gt;="&amp;P$5,'Leave Log'!$F$5:$F$304,"&lt;&gt;Rejected",'Leave Log'!$B$5:$B$304,"UL")&gt;0,"UL",IF(COUNTIFS('Leave Log'!$A$5:$A$304,$A6,'Leave Log'!$C$5:$C$304,"&lt;="&amp;P$5,'Leave Log'!$D$5:$D$304,"&gt;="&amp;P$5,'Leave Log'!$F$5:$F$304,"&lt;&gt;Rejected",'Leave Log'!$B$5:$B$304,"OT")&gt;0,"OT",""))))))</f>
        <v/>
      </c>
      <c r="Q6" s="12" t="str">
        <f aca="false">IF(OR(Q$5="",$A6=""),"",IF(COUNTIFS('Leave Log'!$A$5:$A$304,$A6,'Leave Log'!$C$5:$C$304,"&lt;="&amp;Q$5,'Leave Log'!$D$5:$D$304,"&gt;="&amp;Q$5,'Leave Log'!$F$5:$F$304,"&lt;&gt;Rejected",'Leave Log'!$B$5:$B$304,"AL")&gt;0,"AL",IF(COUNTIFS('Leave Log'!$A$5:$A$304,$A6,'Leave Log'!$C$5:$C$304,"&lt;="&amp;Q$5,'Leave Log'!$D$5:$D$304,"&gt;="&amp;Q$5,'Leave Log'!$F$5:$F$304,"&lt;&gt;Rejected",'Leave Log'!$B$5:$B$304,"SL")&gt;0,"SL",IF(COUNTIFS('Leave Log'!$A$5:$A$304,$A6,'Leave Log'!$C$5:$C$304,"&lt;="&amp;Q$5,'Leave Log'!$D$5:$D$304,"&gt;="&amp;Q$5,'Leave Log'!$F$5:$F$304,"&lt;&gt;Rejected",'Leave Log'!$B$5:$B$304,"CL")&gt;0,"CL",IF(COUNTIFS('Leave Log'!$A$5:$A$304,$A6,'Leave Log'!$C$5:$C$304,"&lt;="&amp;Q$5,'Leave Log'!$D$5:$D$304,"&gt;="&amp;Q$5,'Leave Log'!$F$5:$F$304,"&lt;&gt;Rejected",'Leave Log'!$B$5:$B$304,"UL")&gt;0,"UL",IF(COUNTIFS('Leave Log'!$A$5:$A$304,$A6,'Leave Log'!$C$5:$C$304,"&lt;="&amp;Q$5,'Leave Log'!$D$5:$D$304,"&gt;="&amp;Q$5,'Leave Log'!$F$5:$F$304,"&lt;&gt;Rejected",'Leave Log'!$B$5:$B$304,"OT")&gt;0,"OT",""))))))</f>
        <v/>
      </c>
      <c r="R6" s="12" t="str">
        <f aca="false">IF(OR(R$5="",$A6=""),"",IF(COUNTIFS('Leave Log'!$A$5:$A$304,$A6,'Leave Log'!$C$5:$C$304,"&lt;="&amp;R$5,'Leave Log'!$D$5:$D$304,"&gt;="&amp;R$5,'Leave Log'!$F$5:$F$304,"&lt;&gt;Rejected",'Leave Log'!$B$5:$B$304,"AL")&gt;0,"AL",IF(COUNTIFS('Leave Log'!$A$5:$A$304,$A6,'Leave Log'!$C$5:$C$304,"&lt;="&amp;R$5,'Leave Log'!$D$5:$D$304,"&gt;="&amp;R$5,'Leave Log'!$F$5:$F$304,"&lt;&gt;Rejected",'Leave Log'!$B$5:$B$304,"SL")&gt;0,"SL",IF(COUNTIFS('Leave Log'!$A$5:$A$304,$A6,'Leave Log'!$C$5:$C$304,"&lt;="&amp;R$5,'Leave Log'!$D$5:$D$304,"&gt;="&amp;R$5,'Leave Log'!$F$5:$F$304,"&lt;&gt;Rejected",'Leave Log'!$B$5:$B$304,"CL")&gt;0,"CL",IF(COUNTIFS('Leave Log'!$A$5:$A$304,$A6,'Leave Log'!$C$5:$C$304,"&lt;="&amp;R$5,'Leave Log'!$D$5:$D$304,"&gt;="&amp;R$5,'Leave Log'!$F$5:$F$304,"&lt;&gt;Rejected",'Leave Log'!$B$5:$B$304,"UL")&gt;0,"UL",IF(COUNTIFS('Leave Log'!$A$5:$A$304,$A6,'Leave Log'!$C$5:$C$304,"&lt;="&amp;R$5,'Leave Log'!$D$5:$D$304,"&gt;="&amp;R$5,'Leave Log'!$F$5:$F$304,"&lt;&gt;Rejected",'Leave Log'!$B$5:$B$304,"OT")&gt;0,"OT",""))))))</f>
        <v/>
      </c>
      <c r="S6" s="12" t="str">
        <f aca="false">IF(OR(S$5="",$A6=""),"",IF(COUNTIFS('Leave Log'!$A$5:$A$304,$A6,'Leave Log'!$C$5:$C$304,"&lt;="&amp;S$5,'Leave Log'!$D$5:$D$304,"&gt;="&amp;S$5,'Leave Log'!$F$5:$F$304,"&lt;&gt;Rejected",'Leave Log'!$B$5:$B$304,"AL")&gt;0,"AL",IF(COUNTIFS('Leave Log'!$A$5:$A$304,$A6,'Leave Log'!$C$5:$C$304,"&lt;="&amp;S$5,'Leave Log'!$D$5:$D$304,"&gt;="&amp;S$5,'Leave Log'!$F$5:$F$304,"&lt;&gt;Rejected",'Leave Log'!$B$5:$B$304,"SL")&gt;0,"SL",IF(COUNTIFS('Leave Log'!$A$5:$A$304,$A6,'Leave Log'!$C$5:$C$304,"&lt;="&amp;S$5,'Leave Log'!$D$5:$D$304,"&gt;="&amp;S$5,'Leave Log'!$F$5:$F$304,"&lt;&gt;Rejected",'Leave Log'!$B$5:$B$304,"CL")&gt;0,"CL",IF(COUNTIFS('Leave Log'!$A$5:$A$304,$A6,'Leave Log'!$C$5:$C$304,"&lt;="&amp;S$5,'Leave Log'!$D$5:$D$304,"&gt;="&amp;S$5,'Leave Log'!$F$5:$F$304,"&lt;&gt;Rejected",'Leave Log'!$B$5:$B$304,"UL")&gt;0,"UL",IF(COUNTIFS('Leave Log'!$A$5:$A$304,$A6,'Leave Log'!$C$5:$C$304,"&lt;="&amp;S$5,'Leave Log'!$D$5:$D$304,"&gt;="&amp;S$5,'Leave Log'!$F$5:$F$304,"&lt;&gt;Rejected",'Leave Log'!$B$5:$B$304,"OT")&gt;0,"OT",""))))))</f>
        <v/>
      </c>
      <c r="T6" s="12" t="str">
        <f aca="false">IF(OR(T$5="",$A6=""),"",IF(COUNTIFS('Leave Log'!$A$5:$A$304,$A6,'Leave Log'!$C$5:$C$304,"&lt;="&amp;T$5,'Leave Log'!$D$5:$D$304,"&gt;="&amp;T$5,'Leave Log'!$F$5:$F$304,"&lt;&gt;Rejected",'Leave Log'!$B$5:$B$304,"AL")&gt;0,"AL",IF(COUNTIFS('Leave Log'!$A$5:$A$304,$A6,'Leave Log'!$C$5:$C$304,"&lt;="&amp;T$5,'Leave Log'!$D$5:$D$304,"&gt;="&amp;T$5,'Leave Log'!$F$5:$F$304,"&lt;&gt;Rejected",'Leave Log'!$B$5:$B$304,"SL")&gt;0,"SL",IF(COUNTIFS('Leave Log'!$A$5:$A$304,$A6,'Leave Log'!$C$5:$C$304,"&lt;="&amp;T$5,'Leave Log'!$D$5:$D$304,"&gt;="&amp;T$5,'Leave Log'!$F$5:$F$304,"&lt;&gt;Rejected",'Leave Log'!$B$5:$B$304,"CL")&gt;0,"CL",IF(COUNTIFS('Leave Log'!$A$5:$A$304,$A6,'Leave Log'!$C$5:$C$304,"&lt;="&amp;T$5,'Leave Log'!$D$5:$D$304,"&gt;="&amp;T$5,'Leave Log'!$F$5:$F$304,"&lt;&gt;Rejected",'Leave Log'!$B$5:$B$304,"UL")&gt;0,"UL",IF(COUNTIFS('Leave Log'!$A$5:$A$304,$A6,'Leave Log'!$C$5:$C$304,"&lt;="&amp;T$5,'Leave Log'!$D$5:$D$304,"&gt;="&amp;T$5,'Leave Log'!$F$5:$F$304,"&lt;&gt;Rejected",'Leave Log'!$B$5:$B$304,"OT")&gt;0,"OT",""))))))</f>
        <v/>
      </c>
      <c r="U6" s="12" t="str">
        <f aca="false">IF(OR(U$5="",$A6=""),"",IF(COUNTIFS('Leave Log'!$A$5:$A$304,$A6,'Leave Log'!$C$5:$C$304,"&lt;="&amp;U$5,'Leave Log'!$D$5:$D$304,"&gt;="&amp;U$5,'Leave Log'!$F$5:$F$304,"&lt;&gt;Rejected",'Leave Log'!$B$5:$B$304,"AL")&gt;0,"AL",IF(COUNTIFS('Leave Log'!$A$5:$A$304,$A6,'Leave Log'!$C$5:$C$304,"&lt;="&amp;U$5,'Leave Log'!$D$5:$D$304,"&gt;="&amp;U$5,'Leave Log'!$F$5:$F$304,"&lt;&gt;Rejected",'Leave Log'!$B$5:$B$304,"SL")&gt;0,"SL",IF(COUNTIFS('Leave Log'!$A$5:$A$304,$A6,'Leave Log'!$C$5:$C$304,"&lt;="&amp;U$5,'Leave Log'!$D$5:$D$304,"&gt;="&amp;U$5,'Leave Log'!$F$5:$F$304,"&lt;&gt;Rejected",'Leave Log'!$B$5:$B$304,"CL")&gt;0,"CL",IF(COUNTIFS('Leave Log'!$A$5:$A$304,$A6,'Leave Log'!$C$5:$C$304,"&lt;="&amp;U$5,'Leave Log'!$D$5:$D$304,"&gt;="&amp;U$5,'Leave Log'!$F$5:$F$304,"&lt;&gt;Rejected",'Leave Log'!$B$5:$B$304,"UL")&gt;0,"UL",IF(COUNTIFS('Leave Log'!$A$5:$A$304,$A6,'Leave Log'!$C$5:$C$304,"&lt;="&amp;U$5,'Leave Log'!$D$5:$D$304,"&gt;="&amp;U$5,'Leave Log'!$F$5:$F$304,"&lt;&gt;Rejected",'Leave Log'!$B$5:$B$304,"OT")&gt;0,"OT",""))))))</f>
        <v/>
      </c>
      <c r="V6" s="12" t="str">
        <f aca="false">IF(OR(V$5="",$A6=""),"",IF(COUNTIFS('Leave Log'!$A$5:$A$304,$A6,'Leave Log'!$C$5:$C$304,"&lt;="&amp;V$5,'Leave Log'!$D$5:$D$304,"&gt;="&amp;V$5,'Leave Log'!$F$5:$F$304,"&lt;&gt;Rejected",'Leave Log'!$B$5:$B$304,"AL")&gt;0,"AL",IF(COUNTIFS('Leave Log'!$A$5:$A$304,$A6,'Leave Log'!$C$5:$C$304,"&lt;="&amp;V$5,'Leave Log'!$D$5:$D$304,"&gt;="&amp;V$5,'Leave Log'!$F$5:$F$304,"&lt;&gt;Rejected",'Leave Log'!$B$5:$B$304,"SL")&gt;0,"SL",IF(COUNTIFS('Leave Log'!$A$5:$A$304,$A6,'Leave Log'!$C$5:$C$304,"&lt;="&amp;V$5,'Leave Log'!$D$5:$D$304,"&gt;="&amp;V$5,'Leave Log'!$F$5:$F$304,"&lt;&gt;Rejected",'Leave Log'!$B$5:$B$304,"CL")&gt;0,"CL",IF(COUNTIFS('Leave Log'!$A$5:$A$304,$A6,'Leave Log'!$C$5:$C$304,"&lt;="&amp;V$5,'Leave Log'!$D$5:$D$304,"&gt;="&amp;V$5,'Leave Log'!$F$5:$F$304,"&lt;&gt;Rejected",'Leave Log'!$B$5:$B$304,"UL")&gt;0,"UL",IF(COUNTIFS('Leave Log'!$A$5:$A$304,$A6,'Leave Log'!$C$5:$C$304,"&lt;="&amp;V$5,'Leave Log'!$D$5:$D$304,"&gt;="&amp;V$5,'Leave Log'!$F$5:$F$304,"&lt;&gt;Rejected",'Leave Log'!$B$5:$B$304,"OT")&gt;0,"OT",""))))))</f>
        <v/>
      </c>
      <c r="W6" s="12" t="str">
        <f aca="false">IF(OR(W$5="",$A6=""),"",IF(COUNTIFS('Leave Log'!$A$5:$A$304,$A6,'Leave Log'!$C$5:$C$304,"&lt;="&amp;W$5,'Leave Log'!$D$5:$D$304,"&gt;="&amp;W$5,'Leave Log'!$F$5:$F$304,"&lt;&gt;Rejected",'Leave Log'!$B$5:$B$304,"AL")&gt;0,"AL",IF(COUNTIFS('Leave Log'!$A$5:$A$304,$A6,'Leave Log'!$C$5:$C$304,"&lt;="&amp;W$5,'Leave Log'!$D$5:$D$304,"&gt;="&amp;W$5,'Leave Log'!$F$5:$F$304,"&lt;&gt;Rejected",'Leave Log'!$B$5:$B$304,"SL")&gt;0,"SL",IF(COUNTIFS('Leave Log'!$A$5:$A$304,$A6,'Leave Log'!$C$5:$C$304,"&lt;="&amp;W$5,'Leave Log'!$D$5:$D$304,"&gt;="&amp;W$5,'Leave Log'!$F$5:$F$304,"&lt;&gt;Rejected",'Leave Log'!$B$5:$B$304,"CL")&gt;0,"CL",IF(COUNTIFS('Leave Log'!$A$5:$A$304,$A6,'Leave Log'!$C$5:$C$304,"&lt;="&amp;W$5,'Leave Log'!$D$5:$D$304,"&gt;="&amp;W$5,'Leave Log'!$F$5:$F$304,"&lt;&gt;Rejected",'Leave Log'!$B$5:$B$304,"UL")&gt;0,"UL",IF(COUNTIFS('Leave Log'!$A$5:$A$304,$A6,'Leave Log'!$C$5:$C$304,"&lt;="&amp;W$5,'Leave Log'!$D$5:$D$304,"&gt;="&amp;W$5,'Leave Log'!$F$5:$F$304,"&lt;&gt;Rejected",'Leave Log'!$B$5:$B$304,"OT")&gt;0,"OT",""))))))</f>
        <v/>
      </c>
      <c r="X6" s="12" t="str">
        <f aca="false">IF(OR(X$5="",$A6=""),"",IF(COUNTIFS('Leave Log'!$A$5:$A$304,$A6,'Leave Log'!$C$5:$C$304,"&lt;="&amp;X$5,'Leave Log'!$D$5:$D$304,"&gt;="&amp;X$5,'Leave Log'!$F$5:$F$304,"&lt;&gt;Rejected",'Leave Log'!$B$5:$B$304,"AL")&gt;0,"AL",IF(COUNTIFS('Leave Log'!$A$5:$A$304,$A6,'Leave Log'!$C$5:$C$304,"&lt;="&amp;X$5,'Leave Log'!$D$5:$D$304,"&gt;="&amp;X$5,'Leave Log'!$F$5:$F$304,"&lt;&gt;Rejected",'Leave Log'!$B$5:$B$304,"SL")&gt;0,"SL",IF(COUNTIFS('Leave Log'!$A$5:$A$304,$A6,'Leave Log'!$C$5:$C$304,"&lt;="&amp;X$5,'Leave Log'!$D$5:$D$304,"&gt;="&amp;X$5,'Leave Log'!$F$5:$F$304,"&lt;&gt;Rejected",'Leave Log'!$B$5:$B$304,"CL")&gt;0,"CL",IF(COUNTIFS('Leave Log'!$A$5:$A$304,$A6,'Leave Log'!$C$5:$C$304,"&lt;="&amp;X$5,'Leave Log'!$D$5:$D$304,"&gt;="&amp;X$5,'Leave Log'!$F$5:$F$304,"&lt;&gt;Rejected",'Leave Log'!$B$5:$B$304,"UL")&gt;0,"UL",IF(COUNTIFS('Leave Log'!$A$5:$A$304,$A6,'Leave Log'!$C$5:$C$304,"&lt;="&amp;X$5,'Leave Log'!$D$5:$D$304,"&gt;="&amp;X$5,'Leave Log'!$F$5:$F$304,"&lt;&gt;Rejected",'Leave Log'!$B$5:$B$304,"OT")&gt;0,"OT",""))))))</f>
        <v/>
      </c>
      <c r="Y6" s="12" t="str">
        <f aca="false">IF(OR(Y$5="",$A6=""),"",IF(COUNTIFS('Leave Log'!$A$5:$A$304,$A6,'Leave Log'!$C$5:$C$304,"&lt;="&amp;Y$5,'Leave Log'!$D$5:$D$304,"&gt;="&amp;Y$5,'Leave Log'!$F$5:$F$304,"&lt;&gt;Rejected",'Leave Log'!$B$5:$B$304,"AL")&gt;0,"AL",IF(COUNTIFS('Leave Log'!$A$5:$A$304,$A6,'Leave Log'!$C$5:$C$304,"&lt;="&amp;Y$5,'Leave Log'!$D$5:$D$304,"&gt;="&amp;Y$5,'Leave Log'!$F$5:$F$304,"&lt;&gt;Rejected",'Leave Log'!$B$5:$B$304,"SL")&gt;0,"SL",IF(COUNTIFS('Leave Log'!$A$5:$A$304,$A6,'Leave Log'!$C$5:$C$304,"&lt;="&amp;Y$5,'Leave Log'!$D$5:$D$304,"&gt;="&amp;Y$5,'Leave Log'!$F$5:$F$304,"&lt;&gt;Rejected",'Leave Log'!$B$5:$B$304,"CL")&gt;0,"CL",IF(COUNTIFS('Leave Log'!$A$5:$A$304,$A6,'Leave Log'!$C$5:$C$304,"&lt;="&amp;Y$5,'Leave Log'!$D$5:$D$304,"&gt;="&amp;Y$5,'Leave Log'!$F$5:$F$304,"&lt;&gt;Rejected",'Leave Log'!$B$5:$B$304,"UL")&gt;0,"UL",IF(COUNTIFS('Leave Log'!$A$5:$A$304,$A6,'Leave Log'!$C$5:$C$304,"&lt;="&amp;Y$5,'Leave Log'!$D$5:$D$304,"&gt;="&amp;Y$5,'Leave Log'!$F$5:$F$304,"&lt;&gt;Rejected",'Leave Log'!$B$5:$B$304,"OT")&gt;0,"OT",""))))))</f>
        <v/>
      </c>
      <c r="Z6" s="12" t="str">
        <f aca="false">IF(OR(Z$5="",$A6=""),"",IF(COUNTIFS('Leave Log'!$A$5:$A$304,$A6,'Leave Log'!$C$5:$C$304,"&lt;="&amp;Z$5,'Leave Log'!$D$5:$D$304,"&gt;="&amp;Z$5,'Leave Log'!$F$5:$F$304,"&lt;&gt;Rejected",'Leave Log'!$B$5:$B$304,"AL")&gt;0,"AL",IF(COUNTIFS('Leave Log'!$A$5:$A$304,$A6,'Leave Log'!$C$5:$C$304,"&lt;="&amp;Z$5,'Leave Log'!$D$5:$D$304,"&gt;="&amp;Z$5,'Leave Log'!$F$5:$F$304,"&lt;&gt;Rejected",'Leave Log'!$B$5:$B$304,"SL")&gt;0,"SL",IF(COUNTIFS('Leave Log'!$A$5:$A$304,$A6,'Leave Log'!$C$5:$C$304,"&lt;="&amp;Z$5,'Leave Log'!$D$5:$D$304,"&gt;="&amp;Z$5,'Leave Log'!$F$5:$F$304,"&lt;&gt;Rejected",'Leave Log'!$B$5:$B$304,"CL")&gt;0,"CL",IF(COUNTIFS('Leave Log'!$A$5:$A$304,$A6,'Leave Log'!$C$5:$C$304,"&lt;="&amp;Z$5,'Leave Log'!$D$5:$D$304,"&gt;="&amp;Z$5,'Leave Log'!$F$5:$F$304,"&lt;&gt;Rejected",'Leave Log'!$B$5:$B$304,"UL")&gt;0,"UL",IF(COUNTIFS('Leave Log'!$A$5:$A$304,$A6,'Leave Log'!$C$5:$C$304,"&lt;="&amp;Z$5,'Leave Log'!$D$5:$D$304,"&gt;="&amp;Z$5,'Leave Log'!$F$5:$F$304,"&lt;&gt;Rejected",'Leave Log'!$B$5:$B$304,"OT")&gt;0,"OT",""))))))</f>
        <v/>
      </c>
      <c r="AA6" s="12" t="str">
        <f aca="false">IF(OR(AA$5="",$A6=""),"",IF(COUNTIFS('Leave Log'!$A$5:$A$304,$A6,'Leave Log'!$C$5:$C$304,"&lt;="&amp;AA$5,'Leave Log'!$D$5:$D$304,"&gt;="&amp;AA$5,'Leave Log'!$F$5:$F$304,"&lt;&gt;Rejected",'Leave Log'!$B$5:$B$304,"AL")&gt;0,"AL",IF(COUNTIFS('Leave Log'!$A$5:$A$304,$A6,'Leave Log'!$C$5:$C$304,"&lt;="&amp;AA$5,'Leave Log'!$D$5:$D$304,"&gt;="&amp;AA$5,'Leave Log'!$F$5:$F$304,"&lt;&gt;Rejected",'Leave Log'!$B$5:$B$304,"SL")&gt;0,"SL",IF(COUNTIFS('Leave Log'!$A$5:$A$304,$A6,'Leave Log'!$C$5:$C$304,"&lt;="&amp;AA$5,'Leave Log'!$D$5:$D$304,"&gt;="&amp;AA$5,'Leave Log'!$F$5:$F$304,"&lt;&gt;Rejected",'Leave Log'!$B$5:$B$304,"CL")&gt;0,"CL",IF(COUNTIFS('Leave Log'!$A$5:$A$304,$A6,'Leave Log'!$C$5:$C$304,"&lt;="&amp;AA$5,'Leave Log'!$D$5:$D$304,"&gt;="&amp;AA$5,'Leave Log'!$F$5:$F$304,"&lt;&gt;Rejected",'Leave Log'!$B$5:$B$304,"UL")&gt;0,"UL",IF(COUNTIFS('Leave Log'!$A$5:$A$304,$A6,'Leave Log'!$C$5:$C$304,"&lt;="&amp;AA$5,'Leave Log'!$D$5:$D$304,"&gt;="&amp;AA$5,'Leave Log'!$F$5:$F$304,"&lt;&gt;Rejected",'Leave Log'!$B$5:$B$304,"OT")&gt;0,"OT",""))))))</f>
        <v/>
      </c>
      <c r="AB6" s="12" t="str">
        <f aca="false">IF(OR(AB$5="",$A6=""),"",IF(COUNTIFS('Leave Log'!$A$5:$A$304,$A6,'Leave Log'!$C$5:$C$304,"&lt;="&amp;AB$5,'Leave Log'!$D$5:$D$304,"&gt;="&amp;AB$5,'Leave Log'!$F$5:$F$304,"&lt;&gt;Rejected",'Leave Log'!$B$5:$B$304,"AL")&gt;0,"AL",IF(COUNTIFS('Leave Log'!$A$5:$A$304,$A6,'Leave Log'!$C$5:$C$304,"&lt;="&amp;AB$5,'Leave Log'!$D$5:$D$304,"&gt;="&amp;AB$5,'Leave Log'!$F$5:$F$304,"&lt;&gt;Rejected",'Leave Log'!$B$5:$B$304,"SL")&gt;0,"SL",IF(COUNTIFS('Leave Log'!$A$5:$A$304,$A6,'Leave Log'!$C$5:$C$304,"&lt;="&amp;AB$5,'Leave Log'!$D$5:$D$304,"&gt;="&amp;AB$5,'Leave Log'!$F$5:$F$304,"&lt;&gt;Rejected",'Leave Log'!$B$5:$B$304,"CL")&gt;0,"CL",IF(COUNTIFS('Leave Log'!$A$5:$A$304,$A6,'Leave Log'!$C$5:$C$304,"&lt;="&amp;AB$5,'Leave Log'!$D$5:$D$304,"&gt;="&amp;AB$5,'Leave Log'!$F$5:$F$304,"&lt;&gt;Rejected",'Leave Log'!$B$5:$B$304,"UL")&gt;0,"UL",IF(COUNTIFS('Leave Log'!$A$5:$A$304,$A6,'Leave Log'!$C$5:$C$304,"&lt;="&amp;AB$5,'Leave Log'!$D$5:$D$304,"&gt;="&amp;AB$5,'Leave Log'!$F$5:$F$304,"&lt;&gt;Rejected",'Leave Log'!$B$5:$B$304,"OT")&gt;0,"OT",""))))))</f>
        <v>AL</v>
      </c>
      <c r="AC6" s="12" t="str">
        <f aca="false">IF(OR(AC$5="",$A6=""),"",IF(COUNTIFS('Leave Log'!$A$5:$A$304,$A6,'Leave Log'!$C$5:$C$304,"&lt;="&amp;AC$5,'Leave Log'!$D$5:$D$304,"&gt;="&amp;AC$5,'Leave Log'!$F$5:$F$304,"&lt;&gt;Rejected",'Leave Log'!$B$5:$B$304,"AL")&gt;0,"AL",IF(COUNTIFS('Leave Log'!$A$5:$A$304,$A6,'Leave Log'!$C$5:$C$304,"&lt;="&amp;AC$5,'Leave Log'!$D$5:$D$304,"&gt;="&amp;AC$5,'Leave Log'!$F$5:$F$304,"&lt;&gt;Rejected",'Leave Log'!$B$5:$B$304,"SL")&gt;0,"SL",IF(COUNTIFS('Leave Log'!$A$5:$A$304,$A6,'Leave Log'!$C$5:$C$304,"&lt;="&amp;AC$5,'Leave Log'!$D$5:$D$304,"&gt;="&amp;AC$5,'Leave Log'!$F$5:$F$304,"&lt;&gt;Rejected",'Leave Log'!$B$5:$B$304,"CL")&gt;0,"CL",IF(COUNTIFS('Leave Log'!$A$5:$A$304,$A6,'Leave Log'!$C$5:$C$304,"&lt;="&amp;AC$5,'Leave Log'!$D$5:$D$304,"&gt;="&amp;AC$5,'Leave Log'!$F$5:$F$304,"&lt;&gt;Rejected",'Leave Log'!$B$5:$B$304,"UL")&gt;0,"UL",IF(COUNTIFS('Leave Log'!$A$5:$A$304,$A6,'Leave Log'!$C$5:$C$304,"&lt;="&amp;AC$5,'Leave Log'!$D$5:$D$304,"&gt;="&amp;AC$5,'Leave Log'!$F$5:$F$304,"&lt;&gt;Rejected",'Leave Log'!$B$5:$B$304,"OT")&gt;0,"OT",""))))))</f>
        <v>AL</v>
      </c>
      <c r="AD6" s="12" t="str">
        <f aca="false">IF(OR(AD$5="",$A6=""),"",IF(COUNTIFS('Leave Log'!$A$5:$A$304,$A6,'Leave Log'!$C$5:$C$304,"&lt;="&amp;AD$5,'Leave Log'!$D$5:$D$304,"&gt;="&amp;AD$5,'Leave Log'!$F$5:$F$304,"&lt;&gt;Rejected",'Leave Log'!$B$5:$B$304,"AL")&gt;0,"AL",IF(COUNTIFS('Leave Log'!$A$5:$A$304,$A6,'Leave Log'!$C$5:$C$304,"&lt;="&amp;AD$5,'Leave Log'!$D$5:$D$304,"&gt;="&amp;AD$5,'Leave Log'!$F$5:$F$304,"&lt;&gt;Rejected",'Leave Log'!$B$5:$B$304,"SL")&gt;0,"SL",IF(COUNTIFS('Leave Log'!$A$5:$A$304,$A6,'Leave Log'!$C$5:$C$304,"&lt;="&amp;AD$5,'Leave Log'!$D$5:$D$304,"&gt;="&amp;AD$5,'Leave Log'!$F$5:$F$304,"&lt;&gt;Rejected",'Leave Log'!$B$5:$B$304,"CL")&gt;0,"CL",IF(COUNTIFS('Leave Log'!$A$5:$A$304,$A6,'Leave Log'!$C$5:$C$304,"&lt;="&amp;AD$5,'Leave Log'!$D$5:$D$304,"&gt;="&amp;AD$5,'Leave Log'!$F$5:$F$304,"&lt;&gt;Rejected",'Leave Log'!$B$5:$B$304,"UL")&gt;0,"UL",IF(COUNTIFS('Leave Log'!$A$5:$A$304,$A6,'Leave Log'!$C$5:$C$304,"&lt;="&amp;AD$5,'Leave Log'!$D$5:$D$304,"&gt;="&amp;AD$5,'Leave Log'!$F$5:$F$304,"&lt;&gt;Rejected",'Leave Log'!$B$5:$B$304,"OT")&gt;0,"OT",""))))))</f>
        <v>AL</v>
      </c>
      <c r="AE6" s="12" t="str">
        <f aca="false">IF(OR(AE$5="",$A6=""),"",IF(COUNTIFS('Leave Log'!$A$5:$A$304,$A6,'Leave Log'!$C$5:$C$304,"&lt;="&amp;AE$5,'Leave Log'!$D$5:$D$304,"&gt;="&amp;AE$5,'Leave Log'!$F$5:$F$304,"&lt;&gt;Rejected",'Leave Log'!$B$5:$B$304,"AL")&gt;0,"AL",IF(COUNTIFS('Leave Log'!$A$5:$A$304,$A6,'Leave Log'!$C$5:$C$304,"&lt;="&amp;AE$5,'Leave Log'!$D$5:$D$304,"&gt;="&amp;AE$5,'Leave Log'!$F$5:$F$304,"&lt;&gt;Rejected",'Leave Log'!$B$5:$B$304,"SL")&gt;0,"SL",IF(COUNTIFS('Leave Log'!$A$5:$A$304,$A6,'Leave Log'!$C$5:$C$304,"&lt;="&amp;AE$5,'Leave Log'!$D$5:$D$304,"&gt;="&amp;AE$5,'Leave Log'!$F$5:$F$304,"&lt;&gt;Rejected",'Leave Log'!$B$5:$B$304,"CL")&gt;0,"CL",IF(COUNTIFS('Leave Log'!$A$5:$A$304,$A6,'Leave Log'!$C$5:$C$304,"&lt;="&amp;AE$5,'Leave Log'!$D$5:$D$304,"&gt;="&amp;AE$5,'Leave Log'!$F$5:$F$304,"&lt;&gt;Rejected",'Leave Log'!$B$5:$B$304,"UL")&gt;0,"UL",IF(COUNTIFS('Leave Log'!$A$5:$A$304,$A6,'Leave Log'!$C$5:$C$304,"&lt;="&amp;AE$5,'Leave Log'!$D$5:$D$304,"&gt;="&amp;AE$5,'Leave Log'!$F$5:$F$304,"&lt;&gt;Rejected",'Leave Log'!$B$5:$B$304,"OT")&gt;0,"OT",""))))))</f>
        <v>AL</v>
      </c>
      <c r="AF6" s="12" t="str">
        <f aca="false">IF(OR(AF$5="",$A6=""),"",IF(COUNTIFS('Leave Log'!$A$5:$A$304,$A6,'Leave Log'!$C$5:$C$304,"&lt;="&amp;AF$5,'Leave Log'!$D$5:$D$304,"&gt;="&amp;AF$5,'Leave Log'!$F$5:$F$304,"&lt;&gt;Rejected",'Leave Log'!$B$5:$B$304,"AL")&gt;0,"AL",IF(COUNTIFS('Leave Log'!$A$5:$A$304,$A6,'Leave Log'!$C$5:$C$304,"&lt;="&amp;AF$5,'Leave Log'!$D$5:$D$304,"&gt;="&amp;AF$5,'Leave Log'!$F$5:$F$304,"&lt;&gt;Rejected",'Leave Log'!$B$5:$B$304,"SL")&gt;0,"SL",IF(COUNTIFS('Leave Log'!$A$5:$A$304,$A6,'Leave Log'!$C$5:$C$304,"&lt;="&amp;AF$5,'Leave Log'!$D$5:$D$304,"&gt;="&amp;AF$5,'Leave Log'!$F$5:$F$304,"&lt;&gt;Rejected",'Leave Log'!$B$5:$B$304,"CL")&gt;0,"CL",IF(COUNTIFS('Leave Log'!$A$5:$A$304,$A6,'Leave Log'!$C$5:$C$304,"&lt;="&amp;AF$5,'Leave Log'!$D$5:$D$304,"&gt;="&amp;AF$5,'Leave Log'!$F$5:$F$304,"&lt;&gt;Rejected",'Leave Log'!$B$5:$B$304,"UL")&gt;0,"UL",IF(COUNTIFS('Leave Log'!$A$5:$A$304,$A6,'Leave Log'!$C$5:$C$304,"&lt;="&amp;AF$5,'Leave Log'!$D$5:$D$304,"&gt;="&amp;AF$5,'Leave Log'!$F$5:$F$304,"&lt;&gt;Rejected",'Leave Log'!$B$5:$B$304,"OT")&gt;0,"OT",""))))))</f>
        <v>AL</v>
      </c>
      <c r="AG6" s="12" t="str">
        <f aca="false">IF(OR(AG$5="",$A6=""),"",IF(COUNTIFS('Leave Log'!$A$5:$A$304,$A6,'Leave Log'!$C$5:$C$304,"&lt;="&amp;AG$5,'Leave Log'!$D$5:$D$304,"&gt;="&amp;AG$5,'Leave Log'!$F$5:$F$304,"&lt;&gt;Rejected",'Leave Log'!$B$5:$B$304,"AL")&gt;0,"AL",IF(COUNTIFS('Leave Log'!$A$5:$A$304,$A6,'Leave Log'!$C$5:$C$304,"&lt;="&amp;AG$5,'Leave Log'!$D$5:$D$304,"&gt;="&amp;AG$5,'Leave Log'!$F$5:$F$304,"&lt;&gt;Rejected",'Leave Log'!$B$5:$B$304,"SL")&gt;0,"SL",IF(COUNTIFS('Leave Log'!$A$5:$A$304,$A6,'Leave Log'!$C$5:$C$304,"&lt;="&amp;AG$5,'Leave Log'!$D$5:$D$304,"&gt;="&amp;AG$5,'Leave Log'!$F$5:$F$304,"&lt;&gt;Rejected",'Leave Log'!$B$5:$B$304,"CL")&gt;0,"CL",IF(COUNTIFS('Leave Log'!$A$5:$A$304,$A6,'Leave Log'!$C$5:$C$304,"&lt;="&amp;AG$5,'Leave Log'!$D$5:$D$304,"&gt;="&amp;AG$5,'Leave Log'!$F$5:$F$304,"&lt;&gt;Rejected",'Leave Log'!$B$5:$B$304,"UL")&gt;0,"UL",IF(COUNTIFS('Leave Log'!$A$5:$A$304,$A6,'Leave Log'!$C$5:$C$304,"&lt;="&amp;AG$5,'Leave Log'!$D$5:$D$304,"&gt;="&amp;AG$5,'Leave Log'!$F$5:$F$304,"&lt;&gt;Rejected",'Leave Log'!$B$5:$B$304,"OT")&gt;0,"OT",""))))))</f>
        <v/>
      </c>
    </row>
    <row r="7" customFormat="false" ht="15" hidden="false" customHeight="false" outlineLevel="0" collapsed="false">
      <c r="A7" s="3" t="str">
        <f aca="false">IF(Employees!B6="","",Employees!B6)</f>
        <v>Brian Okafor</v>
      </c>
      <c r="B7" s="11" t="str">
        <f aca="false">IF(Employees!B6="","",Employees!C6)</f>
        <v>Operations</v>
      </c>
      <c r="C7" s="12" t="str">
        <f aca="false">IF(OR(C$5="",$A7=""),"",IF(COUNTIFS('Leave Log'!$A$5:$A$304,$A7,'Leave Log'!$C$5:$C$304,"&lt;="&amp;C$5,'Leave Log'!$D$5:$D$304,"&gt;="&amp;C$5,'Leave Log'!$F$5:$F$304,"&lt;&gt;Rejected",'Leave Log'!$B$5:$B$304,"AL")&gt;0,"AL",IF(COUNTIFS('Leave Log'!$A$5:$A$304,$A7,'Leave Log'!$C$5:$C$304,"&lt;="&amp;C$5,'Leave Log'!$D$5:$D$304,"&gt;="&amp;C$5,'Leave Log'!$F$5:$F$304,"&lt;&gt;Rejected",'Leave Log'!$B$5:$B$304,"SL")&gt;0,"SL",IF(COUNTIFS('Leave Log'!$A$5:$A$304,$A7,'Leave Log'!$C$5:$C$304,"&lt;="&amp;C$5,'Leave Log'!$D$5:$D$304,"&gt;="&amp;C$5,'Leave Log'!$F$5:$F$304,"&lt;&gt;Rejected",'Leave Log'!$B$5:$B$304,"CL")&gt;0,"CL",IF(COUNTIFS('Leave Log'!$A$5:$A$304,$A7,'Leave Log'!$C$5:$C$304,"&lt;="&amp;C$5,'Leave Log'!$D$5:$D$304,"&gt;="&amp;C$5,'Leave Log'!$F$5:$F$304,"&lt;&gt;Rejected",'Leave Log'!$B$5:$B$304,"UL")&gt;0,"UL",IF(COUNTIFS('Leave Log'!$A$5:$A$304,$A7,'Leave Log'!$C$5:$C$304,"&lt;="&amp;C$5,'Leave Log'!$D$5:$D$304,"&gt;="&amp;C$5,'Leave Log'!$F$5:$F$304,"&lt;&gt;Rejected",'Leave Log'!$B$5:$B$304,"OT")&gt;0,"OT",""))))))</f>
        <v/>
      </c>
      <c r="D7" s="12" t="str">
        <f aca="false">IF(OR(D$5="",$A7=""),"",IF(COUNTIFS('Leave Log'!$A$5:$A$304,$A7,'Leave Log'!$C$5:$C$304,"&lt;="&amp;D$5,'Leave Log'!$D$5:$D$304,"&gt;="&amp;D$5,'Leave Log'!$F$5:$F$304,"&lt;&gt;Rejected",'Leave Log'!$B$5:$B$304,"AL")&gt;0,"AL",IF(COUNTIFS('Leave Log'!$A$5:$A$304,$A7,'Leave Log'!$C$5:$C$304,"&lt;="&amp;D$5,'Leave Log'!$D$5:$D$304,"&gt;="&amp;D$5,'Leave Log'!$F$5:$F$304,"&lt;&gt;Rejected",'Leave Log'!$B$5:$B$304,"SL")&gt;0,"SL",IF(COUNTIFS('Leave Log'!$A$5:$A$304,$A7,'Leave Log'!$C$5:$C$304,"&lt;="&amp;D$5,'Leave Log'!$D$5:$D$304,"&gt;="&amp;D$5,'Leave Log'!$F$5:$F$304,"&lt;&gt;Rejected",'Leave Log'!$B$5:$B$304,"CL")&gt;0,"CL",IF(COUNTIFS('Leave Log'!$A$5:$A$304,$A7,'Leave Log'!$C$5:$C$304,"&lt;="&amp;D$5,'Leave Log'!$D$5:$D$304,"&gt;="&amp;D$5,'Leave Log'!$F$5:$F$304,"&lt;&gt;Rejected",'Leave Log'!$B$5:$B$304,"UL")&gt;0,"UL",IF(COUNTIFS('Leave Log'!$A$5:$A$304,$A7,'Leave Log'!$C$5:$C$304,"&lt;="&amp;D$5,'Leave Log'!$D$5:$D$304,"&gt;="&amp;D$5,'Leave Log'!$F$5:$F$304,"&lt;&gt;Rejected",'Leave Log'!$B$5:$B$304,"OT")&gt;0,"OT",""))))))</f>
        <v/>
      </c>
      <c r="E7" s="12" t="str">
        <f aca="false">IF(OR(E$5="",$A7=""),"",IF(COUNTIFS('Leave Log'!$A$5:$A$304,$A7,'Leave Log'!$C$5:$C$304,"&lt;="&amp;E$5,'Leave Log'!$D$5:$D$304,"&gt;="&amp;E$5,'Leave Log'!$F$5:$F$304,"&lt;&gt;Rejected",'Leave Log'!$B$5:$B$304,"AL")&gt;0,"AL",IF(COUNTIFS('Leave Log'!$A$5:$A$304,$A7,'Leave Log'!$C$5:$C$304,"&lt;="&amp;E$5,'Leave Log'!$D$5:$D$304,"&gt;="&amp;E$5,'Leave Log'!$F$5:$F$304,"&lt;&gt;Rejected",'Leave Log'!$B$5:$B$304,"SL")&gt;0,"SL",IF(COUNTIFS('Leave Log'!$A$5:$A$304,$A7,'Leave Log'!$C$5:$C$304,"&lt;="&amp;E$5,'Leave Log'!$D$5:$D$304,"&gt;="&amp;E$5,'Leave Log'!$F$5:$F$304,"&lt;&gt;Rejected",'Leave Log'!$B$5:$B$304,"CL")&gt;0,"CL",IF(COUNTIFS('Leave Log'!$A$5:$A$304,$A7,'Leave Log'!$C$5:$C$304,"&lt;="&amp;E$5,'Leave Log'!$D$5:$D$304,"&gt;="&amp;E$5,'Leave Log'!$F$5:$F$304,"&lt;&gt;Rejected",'Leave Log'!$B$5:$B$304,"UL")&gt;0,"UL",IF(COUNTIFS('Leave Log'!$A$5:$A$304,$A7,'Leave Log'!$C$5:$C$304,"&lt;="&amp;E$5,'Leave Log'!$D$5:$D$304,"&gt;="&amp;E$5,'Leave Log'!$F$5:$F$304,"&lt;&gt;Rejected",'Leave Log'!$B$5:$B$304,"OT")&gt;0,"OT",""))))))</f>
        <v/>
      </c>
      <c r="F7" s="12" t="str">
        <f aca="false">IF(OR(F$5="",$A7=""),"",IF(COUNTIFS('Leave Log'!$A$5:$A$304,$A7,'Leave Log'!$C$5:$C$304,"&lt;="&amp;F$5,'Leave Log'!$D$5:$D$304,"&gt;="&amp;F$5,'Leave Log'!$F$5:$F$304,"&lt;&gt;Rejected",'Leave Log'!$B$5:$B$304,"AL")&gt;0,"AL",IF(COUNTIFS('Leave Log'!$A$5:$A$304,$A7,'Leave Log'!$C$5:$C$304,"&lt;="&amp;F$5,'Leave Log'!$D$5:$D$304,"&gt;="&amp;F$5,'Leave Log'!$F$5:$F$304,"&lt;&gt;Rejected",'Leave Log'!$B$5:$B$304,"SL")&gt;0,"SL",IF(COUNTIFS('Leave Log'!$A$5:$A$304,$A7,'Leave Log'!$C$5:$C$304,"&lt;="&amp;F$5,'Leave Log'!$D$5:$D$304,"&gt;="&amp;F$5,'Leave Log'!$F$5:$F$304,"&lt;&gt;Rejected",'Leave Log'!$B$5:$B$304,"CL")&gt;0,"CL",IF(COUNTIFS('Leave Log'!$A$5:$A$304,$A7,'Leave Log'!$C$5:$C$304,"&lt;="&amp;F$5,'Leave Log'!$D$5:$D$304,"&gt;="&amp;F$5,'Leave Log'!$F$5:$F$304,"&lt;&gt;Rejected",'Leave Log'!$B$5:$B$304,"UL")&gt;0,"UL",IF(COUNTIFS('Leave Log'!$A$5:$A$304,$A7,'Leave Log'!$C$5:$C$304,"&lt;="&amp;F$5,'Leave Log'!$D$5:$D$304,"&gt;="&amp;F$5,'Leave Log'!$F$5:$F$304,"&lt;&gt;Rejected",'Leave Log'!$B$5:$B$304,"OT")&gt;0,"OT",""))))))</f>
        <v/>
      </c>
      <c r="G7" s="12" t="str">
        <f aca="false">IF(OR(G$5="",$A7=""),"",IF(COUNTIFS('Leave Log'!$A$5:$A$304,$A7,'Leave Log'!$C$5:$C$304,"&lt;="&amp;G$5,'Leave Log'!$D$5:$D$304,"&gt;="&amp;G$5,'Leave Log'!$F$5:$F$304,"&lt;&gt;Rejected",'Leave Log'!$B$5:$B$304,"AL")&gt;0,"AL",IF(COUNTIFS('Leave Log'!$A$5:$A$304,$A7,'Leave Log'!$C$5:$C$304,"&lt;="&amp;G$5,'Leave Log'!$D$5:$D$304,"&gt;="&amp;G$5,'Leave Log'!$F$5:$F$304,"&lt;&gt;Rejected",'Leave Log'!$B$5:$B$304,"SL")&gt;0,"SL",IF(COUNTIFS('Leave Log'!$A$5:$A$304,$A7,'Leave Log'!$C$5:$C$304,"&lt;="&amp;G$5,'Leave Log'!$D$5:$D$304,"&gt;="&amp;G$5,'Leave Log'!$F$5:$F$304,"&lt;&gt;Rejected",'Leave Log'!$B$5:$B$304,"CL")&gt;0,"CL",IF(COUNTIFS('Leave Log'!$A$5:$A$304,$A7,'Leave Log'!$C$5:$C$304,"&lt;="&amp;G$5,'Leave Log'!$D$5:$D$304,"&gt;="&amp;G$5,'Leave Log'!$F$5:$F$304,"&lt;&gt;Rejected",'Leave Log'!$B$5:$B$304,"UL")&gt;0,"UL",IF(COUNTIFS('Leave Log'!$A$5:$A$304,$A7,'Leave Log'!$C$5:$C$304,"&lt;="&amp;G$5,'Leave Log'!$D$5:$D$304,"&gt;="&amp;G$5,'Leave Log'!$F$5:$F$304,"&lt;&gt;Rejected",'Leave Log'!$B$5:$B$304,"OT")&gt;0,"OT",""))))))</f>
        <v/>
      </c>
      <c r="H7" s="12" t="str">
        <f aca="false">IF(OR(H$5="",$A7=""),"",IF(COUNTIFS('Leave Log'!$A$5:$A$304,$A7,'Leave Log'!$C$5:$C$304,"&lt;="&amp;H$5,'Leave Log'!$D$5:$D$304,"&gt;="&amp;H$5,'Leave Log'!$F$5:$F$304,"&lt;&gt;Rejected",'Leave Log'!$B$5:$B$304,"AL")&gt;0,"AL",IF(COUNTIFS('Leave Log'!$A$5:$A$304,$A7,'Leave Log'!$C$5:$C$304,"&lt;="&amp;H$5,'Leave Log'!$D$5:$D$304,"&gt;="&amp;H$5,'Leave Log'!$F$5:$F$304,"&lt;&gt;Rejected",'Leave Log'!$B$5:$B$304,"SL")&gt;0,"SL",IF(COUNTIFS('Leave Log'!$A$5:$A$304,$A7,'Leave Log'!$C$5:$C$304,"&lt;="&amp;H$5,'Leave Log'!$D$5:$D$304,"&gt;="&amp;H$5,'Leave Log'!$F$5:$F$304,"&lt;&gt;Rejected",'Leave Log'!$B$5:$B$304,"CL")&gt;0,"CL",IF(COUNTIFS('Leave Log'!$A$5:$A$304,$A7,'Leave Log'!$C$5:$C$304,"&lt;="&amp;H$5,'Leave Log'!$D$5:$D$304,"&gt;="&amp;H$5,'Leave Log'!$F$5:$F$304,"&lt;&gt;Rejected",'Leave Log'!$B$5:$B$304,"UL")&gt;0,"UL",IF(COUNTIFS('Leave Log'!$A$5:$A$304,$A7,'Leave Log'!$C$5:$C$304,"&lt;="&amp;H$5,'Leave Log'!$D$5:$D$304,"&gt;="&amp;H$5,'Leave Log'!$F$5:$F$304,"&lt;&gt;Rejected",'Leave Log'!$B$5:$B$304,"OT")&gt;0,"OT",""))))))</f>
        <v/>
      </c>
      <c r="I7" s="12" t="str">
        <f aca="false">IF(OR(I$5="",$A7=""),"",IF(COUNTIFS('Leave Log'!$A$5:$A$304,$A7,'Leave Log'!$C$5:$C$304,"&lt;="&amp;I$5,'Leave Log'!$D$5:$D$304,"&gt;="&amp;I$5,'Leave Log'!$F$5:$F$304,"&lt;&gt;Rejected",'Leave Log'!$B$5:$B$304,"AL")&gt;0,"AL",IF(COUNTIFS('Leave Log'!$A$5:$A$304,$A7,'Leave Log'!$C$5:$C$304,"&lt;="&amp;I$5,'Leave Log'!$D$5:$D$304,"&gt;="&amp;I$5,'Leave Log'!$F$5:$F$304,"&lt;&gt;Rejected",'Leave Log'!$B$5:$B$304,"SL")&gt;0,"SL",IF(COUNTIFS('Leave Log'!$A$5:$A$304,$A7,'Leave Log'!$C$5:$C$304,"&lt;="&amp;I$5,'Leave Log'!$D$5:$D$304,"&gt;="&amp;I$5,'Leave Log'!$F$5:$F$304,"&lt;&gt;Rejected",'Leave Log'!$B$5:$B$304,"CL")&gt;0,"CL",IF(COUNTIFS('Leave Log'!$A$5:$A$304,$A7,'Leave Log'!$C$5:$C$304,"&lt;="&amp;I$5,'Leave Log'!$D$5:$D$304,"&gt;="&amp;I$5,'Leave Log'!$F$5:$F$304,"&lt;&gt;Rejected",'Leave Log'!$B$5:$B$304,"UL")&gt;0,"UL",IF(COUNTIFS('Leave Log'!$A$5:$A$304,$A7,'Leave Log'!$C$5:$C$304,"&lt;="&amp;I$5,'Leave Log'!$D$5:$D$304,"&gt;="&amp;I$5,'Leave Log'!$F$5:$F$304,"&lt;&gt;Rejected",'Leave Log'!$B$5:$B$304,"OT")&gt;0,"OT",""))))))</f>
        <v/>
      </c>
      <c r="J7" s="12" t="str">
        <f aca="false">IF(OR(J$5="",$A7=""),"",IF(COUNTIFS('Leave Log'!$A$5:$A$304,$A7,'Leave Log'!$C$5:$C$304,"&lt;="&amp;J$5,'Leave Log'!$D$5:$D$304,"&gt;="&amp;J$5,'Leave Log'!$F$5:$F$304,"&lt;&gt;Rejected",'Leave Log'!$B$5:$B$304,"AL")&gt;0,"AL",IF(COUNTIFS('Leave Log'!$A$5:$A$304,$A7,'Leave Log'!$C$5:$C$304,"&lt;="&amp;J$5,'Leave Log'!$D$5:$D$304,"&gt;="&amp;J$5,'Leave Log'!$F$5:$F$304,"&lt;&gt;Rejected",'Leave Log'!$B$5:$B$304,"SL")&gt;0,"SL",IF(COUNTIFS('Leave Log'!$A$5:$A$304,$A7,'Leave Log'!$C$5:$C$304,"&lt;="&amp;J$5,'Leave Log'!$D$5:$D$304,"&gt;="&amp;J$5,'Leave Log'!$F$5:$F$304,"&lt;&gt;Rejected",'Leave Log'!$B$5:$B$304,"CL")&gt;0,"CL",IF(COUNTIFS('Leave Log'!$A$5:$A$304,$A7,'Leave Log'!$C$5:$C$304,"&lt;="&amp;J$5,'Leave Log'!$D$5:$D$304,"&gt;="&amp;J$5,'Leave Log'!$F$5:$F$304,"&lt;&gt;Rejected",'Leave Log'!$B$5:$B$304,"UL")&gt;0,"UL",IF(COUNTIFS('Leave Log'!$A$5:$A$304,$A7,'Leave Log'!$C$5:$C$304,"&lt;="&amp;J$5,'Leave Log'!$D$5:$D$304,"&gt;="&amp;J$5,'Leave Log'!$F$5:$F$304,"&lt;&gt;Rejected",'Leave Log'!$B$5:$B$304,"OT")&gt;0,"OT",""))))))</f>
        <v/>
      </c>
      <c r="K7" s="12" t="str">
        <f aca="false">IF(OR(K$5="",$A7=""),"",IF(COUNTIFS('Leave Log'!$A$5:$A$304,$A7,'Leave Log'!$C$5:$C$304,"&lt;="&amp;K$5,'Leave Log'!$D$5:$D$304,"&gt;="&amp;K$5,'Leave Log'!$F$5:$F$304,"&lt;&gt;Rejected",'Leave Log'!$B$5:$B$304,"AL")&gt;0,"AL",IF(COUNTIFS('Leave Log'!$A$5:$A$304,$A7,'Leave Log'!$C$5:$C$304,"&lt;="&amp;K$5,'Leave Log'!$D$5:$D$304,"&gt;="&amp;K$5,'Leave Log'!$F$5:$F$304,"&lt;&gt;Rejected",'Leave Log'!$B$5:$B$304,"SL")&gt;0,"SL",IF(COUNTIFS('Leave Log'!$A$5:$A$304,$A7,'Leave Log'!$C$5:$C$304,"&lt;="&amp;K$5,'Leave Log'!$D$5:$D$304,"&gt;="&amp;K$5,'Leave Log'!$F$5:$F$304,"&lt;&gt;Rejected",'Leave Log'!$B$5:$B$304,"CL")&gt;0,"CL",IF(COUNTIFS('Leave Log'!$A$5:$A$304,$A7,'Leave Log'!$C$5:$C$304,"&lt;="&amp;K$5,'Leave Log'!$D$5:$D$304,"&gt;="&amp;K$5,'Leave Log'!$F$5:$F$304,"&lt;&gt;Rejected",'Leave Log'!$B$5:$B$304,"UL")&gt;0,"UL",IF(COUNTIFS('Leave Log'!$A$5:$A$304,$A7,'Leave Log'!$C$5:$C$304,"&lt;="&amp;K$5,'Leave Log'!$D$5:$D$304,"&gt;="&amp;K$5,'Leave Log'!$F$5:$F$304,"&lt;&gt;Rejected",'Leave Log'!$B$5:$B$304,"OT")&gt;0,"OT",""))))))</f>
        <v/>
      </c>
      <c r="L7" s="12" t="str">
        <f aca="false">IF(OR(L$5="",$A7=""),"",IF(COUNTIFS('Leave Log'!$A$5:$A$304,$A7,'Leave Log'!$C$5:$C$304,"&lt;="&amp;L$5,'Leave Log'!$D$5:$D$304,"&gt;="&amp;L$5,'Leave Log'!$F$5:$F$304,"&lt;&gt;Rejected",'Leave Log'!$B$5:$B$304,"AL")&gt;0,"AL",IF(COUNTIFS('Leave Log'!$A$5:$A$304,$A7,'Leave Log'!$C$5:$C$304,"&lt;="&amp;L$5,'Leave Log'!$D$5:$D$304,"&gt;="&amp;L$5,'Leave Log'!$F$5:$F$304,"&lt;&gt;Rejected",'Leave Log'!$B$5:$B$304,"SL")&gt;0,"SL",IF(COUNTIFS('Leave Log'!$A$5:$A$304,$A7,'Leave Log'!$C$5:$C$304,"&lt;="&amp;L$5,'Leave Log'!$D$5:$D$304,"&gt;="&amp;L$5,'Leave Log'!$F$5:$F$304,"&lt;&gt;Rejected",'Leave Log'!$B$5:$B$304,"CL")&gt;0,"CL",IF(COUNTIFS('Leave Log'!$A$5:$A$304,$A7,'Leave Log'!$C$5:$C$304,"&lt;="&amp;L$5,'Leave Log'!$D$5:$D$304,"&gt;="&amp;L$5,'Leave Log'!$F$5:$F$304,"&lt;&gt;Rejected",'Leave Log'!$B$5:$B$304,"UL")&gt;0,"UL",IF(COUNTIFS('Leave Log'!$A$5:$A$304,$A7,'Leave Log'!$C$5:$C$304,"&lt;="&amp;L$5,'Leave Log'!$D$5:$D$304,"&gt;="&amp;L$5,'Leave Log'!$F$5:$F$304,"&lt;&gt;Rejected",'Leave Log'!$B$5:$B$304,"OT")&gt;0,"OT",""))))))</f>
        <v/>
      </c>
      <c r="M7" s="12" t="str">
        <f aca="false">IF(OR(M$5="",$A7=""),"",IF(COUNTIFS('Leave Log'!$A$5:$A$304,$A7,'Leave Log'!$C$5:$C$304,"&lt;="&amp;M$5,'Leave Log'!$D$5:$D$304,"&gt;="&amp;M$5,'Leave Log'!$F$5:$F$304,"&lt;&gt;Rejected",'Leave Log'!$B$5:$B$304,"AL")&gt;0,"AL",IF(COUNTIFS('Leave Log'!$A$5:$A$304,$A7,'Leave Log'!$C$5:$C$304,"&lt;="&amp;M$5,'Leave Log'!$D$5:$D$304,"&gt;="&amp;M$5,'Leave Log'!$F$5:$F$304,"&lt;&gt;Rejected",'Leave Log'!$B$5:$B$304,"SL")&gt;0,"SL",IF(COUNTIFS('Leave Log'!$A$5:$A$304,$A7,'Leave Log'!$C$5:$C$304,"&lt;="&amp;M$5,'Leave Log'!$D$5:$D$304,"&gt;="&amp;M$5,'Leave Log'!$F$5:$F$304,"&lt;&gt;Rejected",'Leave Log'!$B$5:$B$304,"CL")&gt;0,"CL",IF(COUNTIFS('Leave Log'!$A$5:$A$304,$A7,'Leave Log'!$C$5:$C$304,"&lt;="&amp;M$5,'Leave Log'!$D$5:$D$304,"&gt;="&amp;M$5,'Leave Log'!$F$5:$F$304,"&lt;&gt;Rejected",'Leave Log'!$B$5:$B$304,"UL")&gt;0,"UL",IF(COUNTIFS('Leave Log'!$A$5:$A$304,$A7,'Leave Log'!$C$5:$C$304,"&lt;="&amp;M$5,'Leave Log'!$D$5:$D$304,"&gt;="&amp;M$5,'Leave Log'!$F$5:$F$304,"&lt;&gt;Rejected",'Leave Log'!$B$5:$B$304,"OT")&gt;0,"OT",""))))))</f>
        <v/>
      </c>
      <c r="N7" s="12" t="str">
        <f aca="false">IF(OR(N$5="",$A7=""),"",IF(COUNTIFS('Leave Log'!$A$5:$A$304,$A7,'Leave Log'!$C$5:$C$304,"&lt;="&amp;N$5,'Leave Log'!$D$5:$D$304,"&gt;="&amp;N$5,'Leave Log'!$F$5:$F$304,"&lt;&gt;Rejected",'Leave Log'!$B$5:$B$304,"AL")&gt;0,"AL",IF(COUNTIFS('Leave Log'!$A$5:$A$304,$A7,'Leave Log'!$C$5:$C$304,"&lt;="&amp;N$5,'Leave Log'!$D$5:$D$304,"&gt;="&amp;N$5,'Leave Log'!$F$5:$F$304,"&lt;&gt;Rejected",'Leave Log'!$B$5:$B$304,"SL")&gt;0,"SL",IF(COUNTIFS('Leave Log'!$A$5:$A$304,$A7,'Leave Log'!$C$5:$C$304,"&lt;="&amp;N$5,'Leave Log'!$D$5:$D$304,"&gt;="&amp;N$5,'Leave Log'!$F$5:$F$304,"&lt;&gt;Rejected",'Leave Log'!$B$5:$B$304,"CL")&gt;0,"CL",IF(COUNTIFS('Leave Log'!$A$5:$A$304,$A7,'Leave Log'!$C$5:$C$304,"&lt;="&amp;N$5,'Leave Log'!$D$5:$D$304,"&gt;="&amp;N$5,'Leave Log'!$F$5:$F$304,"&lt;&gt;Rejected",'Leave Log'!$B$5:$B$304,"UL")&gt;0,"UL",IF(COUNTIFS('Leave Log'!$A$5:$A$304,$A7,'Leave Log'!$C$5:$C$304,"&lt;="&amp;N$5,'Leave Log'!$D$5:$D$304,"&gt;="&amp;N$5,'Leave Log'!$F$5:$F$304,"&lt;&gt;Rejected",'Leave Log'!$B$5:$B$304,"OT")&gt;0,"OT",""))))))</f>
        <v/>
      </c>
      <c r="O7" s="12" t="str">
        <f aca="false">IF(OR(O$5="",$A7=""),"",IF(COUNTIFS('Leave Log'!$A$5:$A$304,$A7,'Leave Log'!$C$5:$C$304,"&lt;="&amp;O$5,'Leave Log'!$D$5:$D$304,"&gt;="&amp;O$5,'Leave Log'!$F$5:$F$304,"&lt;&gt;Rejected",'Leave Log'!$B$5:$B$304,"AL")&gt;0,"AL",IF(COUNTIFS('Leave Log'!$A$5:$A$304,$A7,'Leave Log'!$C$5:$C$304,"&lt;="&amp;O$5,'Leave Log'!$D$5:$D$304,"&gt;="&amp;O$5,'Leave Log'!$F$5:$F$304,"&lt;&gt;Rejected",'Leave Log'!$B$5:$B$304,"SL")&gt;0,"SL",IF(COUNTIFS('Leave Log'!$A$5:$A$304,$A7,'Leave Log'!$C$5:$C$304,"&lt;="&amp;O$5,'Leave Log'!$D$5:$D$304,"&gt;="&amp;O$5,'Leave Log'!$F$5:$F$304,"&lt;&gt;Rejected",'Leave Log'!$B$5:$B$304,"CL")&gt;0,"CL",IF(COUNTIFS('Leave Log'!$A$5:$A$304,$A7,'Leave Log'!$C$5:$C$304,"&lt;="&amp;O$5,'Leave Log'!$D$5:$D$304,"&gt;="&amp;O$5,'Leave Log'!$F$5:$F$304,"&lt;&gt;Rejected",'Leave Log'!$B$5:$B$304,"UL")&gt;0,"UL",IF(COUNTIFS('Leave Log'!$A$5:$A$304,$A7,'Leave Log'!$C$5:$C$304,"&lt;="&amp;O$5,'Leave Log'!$D$5:$D$304,"&gt;="&amp;O$5,'Leave Log'!$F$5:$F$304,"&lt;&gt;Rejected",'Leave Log'!$B$5:$B$304,"OT")&gt;0,"OT",""))))))</f>
        <v/>
      </c>
      <c r="P7" s="12" t="str">
        <f aca="false">IF(OR(P$5="",$A7=""),"",IF(COUNTIFS('Leave Log'!$A$5:$A$304,$A7,'Leave Log'!$C$5:$C$304,"&lt;="&amp;P$5,'Leave Log'!$D$5:$D$304,"&gt;="&amp;P$5,'Leave Log'!$F$5:$F$304,"&lt;&gt;Rejected",'Leave Log'!$B$5:$B$304,"AL")&gt;0,"AL",IF(COUNTIFS('Leave Log'!$A$5:$A$304,$A7,'Leave Log'!$C$5:$C$304,"&lt;="&amp;P$5,'Leave Log'!$D$5:$D$304,"&gt;="&amp;P$5,'Leave Log'!$F$5:$F$304,"&lt;&gt;Rejected",'Leave Log'!$B$5:$B$304,"SL")&gt;0,"SL",IF(COUNTIFS('Leave Log'!$A$5:$A$304,$A7,'Leave Log'!$C$5:$C$304,"&lt;="&amp;P$5,'Leave Log'!$D$5:$D$304,"&gt;="&amp;P$5,'Leave Log'!$F$5:$F$304,"&lt;&gt;Rejected",'Leave Log'!$B$5:$B$304,"CL")&gt;0,"CL",IF(COUNTIFS('Leave Log'!$A$5:$A$304,$A7,'Leave Log'!$C$5:$C$304,"&lt;="&amp;P$5,'Leave Log'!$D$5:$D$304,"&gt;="&amp;P$5,'Leave Log'!$F$5:$F$304,"&lt;&gt;Rejected",'Leave Log'!$B$5:$B$304,"UL")&gt;0,"UL",IF(COUNTIFS('Leave Log'!$A$5:$A$304,$A7,'Leave Log'!$C$5:$C$304,"&lt;="&amp;P$5,'Leave Log'!$D$5:$D$304,"&gt;="&amp;P$5,'Leave Log'!$F$5:$F$304,"&lt;&gt;Rejected",'Leave Log'!$B$5:$B$304,"OT")&gt;0,"OT",""))))))</f>
        <v/>
      </c>
      <c r="Q7" s="12" t="str">
        <f aca="false">IF(OR(Q$5="",$A7=""),"",IF(COUNTIFS('Leave Log'!$A$5:$A$304,$A7,'Leave Log'!$C$5:$C$304,"&lt;="&amp;Q$5,'Leave Log'!$D$5:$D$304,"&gt;="&amp;Q$5,'Leave Log'!$F$5:$F$304,"&lt;&gt;Rejected",'Leave Log'!$B$5:$B$304,"AL")&gt;0,"AL",IF(COUNTIFS('Leave Log'!$A$5:$A$304,$A7,'Leave Log'!$C$5:$C$304,"&lt;="&amp;Q$5,'Leave Log'!$D$5:$D$304,"&gt;="&amp;Q$5,'Leave Log'!$F$5:$F$304,"&lt;&gt;Rejected",'Leave Log'!$B$5:$B$304,"SL")&gt;0,"SL",IF(COUNTIFS('Leave Log'!$A$5:$A$304,$A7,'Leave Log'!$C$5:$C$304,"&lt;="&amp;Q$5,'Leave Log'!$D$5:$D$304,"&gt;="&amp;Q$5,'Leave Log'!$F$5:$F$304,"&lt;&gt;Rejected",'Leave Log'!$B$5:$B$304,"CL")&gt;0,"CL",IF(COUNTIFS('Leave Log'!$A$5:$A$304,$A7,'Leave Log'!$C$5:$C$304,"&lt;="&amp;Q$5,'Leave Log'!$D$5:$D$304,"&gt;="&amp;Q$5,'Leave Log'!$F$5:$F$304,"&lt;&gt;Rejected",'Leave Log'!$B$5:$B$304,"UL")&gt;0,"UL",IF(COUNTIFS('Leave Log'!$A$5:$A$304,$A7,'Leave Log'!$C$5:$C$304,"&lt;="&amp;Q$5,'Leave Log'!$D$5:$D$304,"&gt;="&amp;Q$5,'Leave Log'!$F$5:$F$304,"&lt;&gt;Rejected",'Leave Log'!$B$5:$B$304,"OT")&gt;0,"OT",""))))))</f>
        <v/>
      </c>
      <c r="R7" s="12" t="str">
        <f aca="false">IF(OR(R$5="",$A7=""),"",IF(COUNTIFS('Leave Log'!$A$5:$A$304,$A7,'Leave Log'!$C$5:$C$304,"&lt;="&amp;R$5,'Leave Log'!$D$5:$D$304,"&gt;="&amp;R$5,'Leave Log'!$F$5:$F$304,"&lt;&gt;Rejected",'Leave Log'!$B$5:$B$304,"AL")&gt;0,"AL",IF(COUNTIFS('Leave Log'!$A$5:$A$304,$A7,'Leave Log'!$C$5:$C$304,"&lt;="&amp;R$5,'Leave Log'!$D$5:$D$304,"&gt;="&amp;R$5,'Leave Log'!$F$5:$F$304,"&lt;&gt;Rejected",'Leave Log'!$B$5:$B$304,"SL")&gt;0,"SL",IF(COUNTIFS('Leave Log'!$A$5:$A$304,$A7,'Leave Log'!$C$5:$C$304,"&lt;="&amp;R$5,'Leave Log'!$D$5:$D$304,"&gt;="&amp;R$5,'Leave Log'!$F$5:$F$304,"&lt;&gt;Rejected",'Leave Log'!$B$5:$B$304,"CL")&gt;0,"CL",IF(COUNTIFS('Leave Log'!$A$5:$A$304,$A7,'Leave Log'!$C$5:$C$304,"&lt;="&amp;R$5,'Leave Log'!$D$5:$D$304,"&gt;="&amp;R$5,'Leave Log'!$F$5:$F$304,"&lt;&gt;Rejected",'Leave Log'!$B$5:$B$304,"UL")&gt;0,"UL",IF(COUNTIFS('Leave Log'!$A$5:$A$304,$A7,'Leave Log'!$C$5:$C$304,"&lt;="&amp;R$5,'Leave Log'!$D$5:$D$304,"&gt;="&amp;R$5,'Leave Log'!$F$5:$F$304,"&lt;&gt;Rejected",'Leave Log'!$B$5:$B$304,"OT")&gt;0,"OT",""))))))</f>
        <v/>
      </c>
      <c r="S7" s="12" t="str">
        <f aca="false">IF(OR(S$5="",$A7=""),"",IF(COUNTIFS('Leave Log'!$A$5:$A$304,$A7,'Leave Log'!$C$5:$C$304,"&lt;="&amp;S$5,'Leave Log'!$D$5:$D$304,"&gt;="&amp;S$5,'Leave Log'!$F$5:$F$304,"&lt;&gt;Rejected",'Leave Log'!$B$5:$B$304,"AL")&gt;0,"AL",IF(COUNTIFS('Leave Log'!$A$5:$A$304,$A7,'Leave Log'!$C$5:$C$304,"&lt;="&amp;S$5,'Leave Log'!$D$5:$D$304,"&gt;="&amp;S$5,'Leave Log'!$F$5:$F$304,"&lt;&gt;Rejected",'Leave Log'!$B$5:$B$304,"SL")&gt;0,"SL",IF(COUNTIFS('Leave Log'!$A$5:$A$304,$A7,'Leave Log'!$C$5:$C$304,"&lt;="&amp;S$5,'Leave Log'!$D$5:$D$304,"&gt;="&amp;S$5,'Leave Log'!$F$5:$F$304,"&lt;&gt;Rejected",'Leave Log'!$B$5:$B$304,"CL")&gt;0,"CL",IF(COUNTIFS('Leave Log'!$A$5:$A$304,$A7,'Leave Log'!$C$5:$C$304,"&lt;="&amp;S$5,'Leave Log'!$D$5:$D$304,"&gt;="&amp;S$5,'Leave Log'!$F$5:$F$304,"&lt;&gt;Rejected",'Leave Log'!$B$5:$B$304,"UL")&gt;0,"UL",IF(COUNTIFS('Leave Log'!$A$5:$A$304,$A7,'Leave Log'!$C$5:$C$304,"&lt;="&amp;S$5,'Leave Log'!$D$5:$D$304,"&gt;="&amp;S$5,'Leave Log'!$F$5:$F$304,"&lt;&gt;Rejected",'Leave Log'!$B$5:$B$304,"OT")&gt;0,"OT",""))))))</f>
        <v/>
      </c>
      <c r="T7" s="12" t="str">
        <f aca="false">IF(OR(T$5="",$A7=""),"",IF(COUNTIFS('Leave Log'!$A$5:$A$304,$A7,'Leave Log'!$C$5:$C$304,"&lt;="&amp;T$5,'Leave Log'!$D$5:$D$304,"&gt;="&amp;T$5,'Leave Log'!$F$5:$F$304,"&lt;&gt;Rejected",'Leave Log'!$B$5:$B$304,"AL")&gt;0,"AL",IF(COUNTIFS('Leave Log'!$A$5:$A$304,$A7,'Leave Log'!$C$5:$C$304,"&lt;="&amp;T$5,'Leave Log'!$D$5:$D$304,"&gt;="&amp;T$5,'Leave Log'!$F$5:$F$304,"&lt;&gt;Rejected",'Leave Log'!$B$5:$B$304,"SL")&gt;0,"SL",IF(COUNTIFS('Leave Log'!$A$5:$A$304,$A7,'Leave Log'!$C$5:$C$304,"&lt;="&amp;T$5,'Leave Log'!$D$5:$D$304,"&gt;="&amp;T$5,'Leave Log'!$F$5:$F$304,"&lt;&gt;Rejected",'Leave Log'!$B$5:$B$304,"CL")&gt;0,"CL",IF(COUNTIFS('Leave Log'!$A$5:$A$304,$A7,'Leave Log'!$C$5:$C$304,"&lt;="&amp;T$5,'Leave Log'!$D$5:$D$304,"&gt;="&amp;T$5,'Leave Log'!$F$5:$F$304,"&lt;&gt;Rejected",'Leave Log'!$B$5:$B$304,"UL")&gt;0,"UL",IF(COUNTIFS('Leave Log'!$A$5:$A$304,$A7,'Leave Log'!$C$5:$C$304,"&lt;="&amp;T$5,'Leave Log'!$D$5:$D$304,"&gt;="&amp;T$5,'Leave Log'!$F$5:$F$304,"&lt;&gt;Rejected",'Leave Log'!$B$5:$B$304,"OT")&gt;0,"OT",""))))))</f>
        <v/>
      </c>
      <c r="U7" s="12" t="str">
        <f aca="false">IF(OR(U$5="",$A7=""),"",IF(COUNTIFS('Leave Log'!$A$5:$A$304,$A7,'Leave Log'!$C$5:$C$304,"&lt;="&amp;U$5,'Leave Log'!$D$5:$D$304,"&gt;="&amp;U$5,'Leave Log'!$F$5:$F$304,"&lt;&gt;Rejected",'Leave Log'!$B$5:$B$304,"AL")&gt;0,"AL",IF(COUNTIFS('Leave Log'!$A$5:$A$304,$A7,'Leave Log'!$C$5:$C$304,"&lt;="&amp;U$5,'Leave Log'!$D$5:$D$304,"&gt;="&amp;U$5,'Leave Log'!$F$5:$F$304,"&lt;&gt;Rejected",'Leave Log'!$B$5:$B$304,"SL")&gt;0,"SL",IF(COUNTIFS('Leave Log'!$A$5:$A$304,$A7,'Leave Log'!$C$5:$C$304,"&lt;="&amp;U$5,'Leave Log'!$D$5:$D$304,"&gt;="&amp;U$5,'Leave Log'!$F$5:$F$304,"&lt;&gt;Rejected",'Leave Log'!$B$5:$B$304,"CL")&gt;0,"CL",IF(COUNTIFS('Leave Log'!$A$5:$A$304,$A7,'Leave Log'!$C$5:$C$304,"&lt;="&amp;U$5,'Leave Log'!$D$5:$D$304,"&gt;="&amp;U$5,'Leave Log'!$F$5:$F$304,"&lt;&gt;Rejected",'Leave Log'!$B$5:$B$304,"UL")&gt;0,"UL",IF(COUNTIFS('Leave Log'!$A$5:$A$304,$A7,'Leave Log'!$C$5:$C$304,"&lt;="&amp;U$5,'Leave Log'!$D$5:$D$304,"&gt;="&amp;U$5,'Leave Log'!$F$5:$F$304,"&lt;&gt;Rejected",'Leave Log'!$B$5:$B$304,"OT")&gt;0,"OT",""))))))</f>
        <v/>
      </c>
      <c r="V7" s="12" t="str">
        <f aca="false">IF(OR(V$5="",$A7=""),"",IF(COUNTIFS('Leave Log'!$A$5:$A$304,$A7,'Leave Log'!$C$5:$C$304,"&lt;="&amp;V$5,'Leave Log'!$D$5:$D$304,"&gt;="&amp;V$5,'Leave Log'!$F$5:$F$304,"&lt;&gt;Rejected",'Leave Log'!$B$5:$B$304,"AL")&gt;0,"AL",IF(COUNTIFS('Leave Log'!$A$5:$A$304,$A7,'Leave Log'!$C$5:$C$304,"&lt;="&amp;V$5,'Leave Log'!$D$5:$D$304,"&gt;="&amp;V$5,'Leave Log'!$F$5:$F$304,"&lt;&gt;Rejected",'Leave Log'!$B$5:$B$304,"SL")&gt;0,"SL",IF(COUNTIFS('Leave Log'!$A$5:$A$304,$A7,'Leave Log'!$C$5:$C$304,"&lt;="&amp;V$5,'Leave Log'!$D$5:$D$304,"&gt;="&amp;V$5,'Leave Log'!$F$5:$F$304,"&lt;&gt;Rejected",'Leave Log'!$B$5:$B$304,"CL")&gt;0,"CL",IF(COUNTIFS('Leave Log'!$A$5:$A$304,$A7,'Leave Log'!$C$5:$C$304,"&lt;="&amp;V$5,'Leave Log'!$D$5:$D$304,"&gt;="&amp;V$5,'Leave Log'!$F$5:$F$304,"&lt;&gt;Rejected",'Leave Log'!$B$5:$B$304,"UL")&gt;0,"UL",IF(COUNTIFS('Leave Log'!$A$5:$A$304,$A7,'Leave Log'!$C$5:$C$304,"&lt;="&amp;V$5,'Leave Log'!$D$5:$D$304,"&gt;="&amp;V$5,'Leave Log'!$F$5:$F$304,"&lt;&gt;Rejected",'Leave Log'!$B$5:$B$304,"OT")&gt;0,"OT",""))))))</f>
        <v/>
      </c>
      <c r="W7" s="12" t="str">
        <f aca="false">IF(OR(W$5="",$A7=""),"",IF(COUNTIFS('Leave Log'!$A$5:$A$304,$A7,'Leave Log'!$C$5:$C$304,"&lt;="&amp;W$5,'Leave Log'!$D$5:$D$304,"&gt;="&amp;W$5,'Leave Log'!$F$5:$F$304,"&lt;&gt;Rejected",'Leave Log'!$B$5:$B$304,"AL")&gt;0,"AL",IF(COUNTIFS('Leave Log'!$A$5:$A$304,$A7,'Leave Log'!$C$5:$C$304,"&lt;="&amp;W$5,'Leave Log'!$D$5:$D$304,"&gt;="&amp;W$5,'Leave Log'!$F$5:$F$304,"&lt;&gt;Rejected",'Leave Log'!$B$5:$B$304,"SL")&gt;0,"SL",IF(COUNTIFS('Leave Log'!$A$5:$A$304,$A7,'Leave Log'!$C$5:$C$304,"&lt;="&amp;W$5,'Leave Log'!$D$5:$D$304,"&gt;="&amp;W$5,'Leave Log'!$F$5:$F$304,"&lt;&gt;Rejected",'Leave Log'!$B$5:$B$304,"CL")&gt;0,"CL",IF(COUNTIFS('Leave Log'!$A$5:$A$304,$A7,'Leave Log'!$C$5:$C$304,"&lt;="&amp;W$5,'Leave Log'!$D$5:$D$304,"&gt;="&amp;W$5,'Leave Log'!$F$5:$F$304,"&lt;&gt;Rejected",'Leave Log'!$B$5:$B$304,"UL")&gt;0,"UL",IF(COUNTIFS('Leave Log'!$A$5:$A$304,$A7,'Leave Log'!$C$5:$C$304,"&lt;="&amp;W$5,'Leave Log'!$D$5:$D$304,"&gt;="&amp;W$5,'Leave Log'!$F$5:$F$304,"&lt;&gt;Rejected",'Leave Log'!$B$5:$B$304,"OT")&gt;0,"OT",""))))))</f>
        <v/>
      </c>
      <c r="X7" s="12" t="str">
        <f aca="false">IF(OR(X$5="",$A7=""),"",IF(COUNTIFS('Leave Log'!$A$5:$A$304,$A7,'Leave Log'!$C$5:$C$304,"&lt;="&amp;X$5,'Leave Log'!$D$5:$D$304,"&gt;="&amp;X$5,'Leave Log'!$F$5:$F$304,"&lt;&gt;Rejected",'Leave Log'!$B$5:$B$304,"AL")&gt;0,"AL",IF(COUNTIFS('Leave Log'!$A$5:$A$304,$A7,'Leave Log'!$C$5:$C$304,"&lt;="&amp;X$5,'Leave Log'!$D$5:$D$304,"&gt;="&amp;X$5,'Leave Log'!$F$5:$F$304,"&lt;&gt;Rejected",'Leave Log'!$B$5:$B$304,"SL")&gt;0,"SL",IF(COUNTIFS('Leave Log'!$A$5:$A$304,$A7,'Leave Log'!$C$5:$C$304,"&lt;="&amp;X$5,'Leave Log'!$D$5:$D$304,"&gt;="&amp;X$5,'Leave Log'!$F$5:$F$304,"&lt;&gt;Rejected",'Leave Log'!$B$5:$B$304,"CL")&gt;0,"CL",IF(COUNTIFS('Leave Log'!$A$5:$A$304,$A7,'Leave Log'!$C$5:$C$304,"&lt;="&amp;X$5,'Leave Log'!$D$5:$D$304,"&gt;="&amp;X$5,'Leave Log'!$F$5:$F$304,"&lt;&gt;Rejected",'Leave Log'!$B$5:$B$304,"UL")&gt;0,"UL",IF(COUNTIFS('Leave Log'!$A$5:$A$304,$A7,'Leave Log'!$C$5:$C$304,"&lt;="&amp;X$5,'Leave Log'!$D$5:$D$304,"&gt;="&amp;X$5,'Leave Log'!$F$5:$F$304,"&lt;&gt;Rejected",'Leave Log'!$B$5:$B$304,"OT")&gt;0,"OT",""))))))</f>
        <v>SL</v>
      </c>
      <c r="Y7" s="12" t="str">
        <f aca="false">IF(OR(Y$5="",$A7=""),"",IF(COUNTIFS('Leave Log'!$A$5:$A$304,$A7,'Leave Log'!$C$5:$C$304,"&lt;="&amp;Y$5,'Leave Log'!$D$5:$D$304,"&gt;="&amp;Y$5,'Leave Log'!$F$5:$F$304,"&lt;&gt;Rejected",'Leave Log'!$B$5:$B$304,"AL")&gt;0,"AL",IF(COUNTIFS('Leave Log'!$A$5:$A$304,$A7,'Leave Log'!$C$5:$C$304,"&lt;="&amp;Y$5,'Leave Log'!$D$5:$D$304,"&gt;="&amp;Y$5,'Leave Log'!$F$5:$F$304,"&lt;&gt;Rejected",'Leave Log'!$B$5:$B$304,"SL")&gt;0,"SL",IF(COUNTIFS('Leave Log'!$A$5:$A$304,$A7,'Leave Log'!$C$5:$C$304,"&lt;="&amp;Y$5,'Leave Log'!$D$5:$D$304,"&gt;="&amp;Y$5,'Leave Log'!$F$5:$F$304,"&lt;&gt;Rejected",'Leave Log'!$B$5:$B$304,"CL")&gt;0,"CL",IF(COUNTIFS('Leave Log'!$A$5:$A$304,$A7,'Leave Log'!$C$5:$C$304,"&lt;="&amp;Y$5,'Leave Log'!$D$5:$D$304,"&gt;="&amp;Y$5,'Leave Log'!$F$5:$F$304,"&lt;&gt;Rejected",'Leave Log'!$B$5:$B$304,"UL")&gt;0,"UL",IF(COUNTIFS('Leave Log'!$A$5:$A$304,$A7,'Leave Log'!$C$5:$C$304,"&lt;="&amp;Y$5,'Leave Log'!$D$5:$D$304,"&gt;="&amp;Y$5,'Leave Log'!$F$5:$F$304,"&lt;&gt;Rejected",'Leave Log'!$B$5:$B$304,"OT")&gt;0,"OT",""))))))</f>
        <v>SL</v>
      </c>
      <c r="Z7" s="12" t="str">
        <f aca="false">IF(OR(Z$5="",$A7=""),"",IF(COUNTIFS('Leave Log'!$A$5:$A$304,$A7,'Leave Log'!$C$5:$C$304,"&lt;="&amp;Z$5,'Leave Log'!$D$5:$D$304,"&gt;="&amp;Z$5,'Leave Log'!$F$5:$F$304,"&lt;&gt;Rejected",'Leave Log'!$B$5:$B$304,"AL")&gt;0,"AL",IF(COUNTIFS('Leave Log'!$A$5:$A$304,$A7,'Leave Log'!$C$5:$C$304,"&lt;="&amp;Z$5,'Leave Log'!$D$5:$D$304,"&gt;="&amp;Z$5,'Leave Log'!$F$5:$F$304,"&lt;&gt;Rejected",'Leave Log'!$B$5:$B$304,"SL")&gt;0,"SL",IF(COUNTIFS('Leave Log'!$A$5:$A$304,$A7,'Leave Log'!$C$5:$C$304,"&lt;="&amp;Z$5,'Leave Log'!$D$5:$D$304,"&gt;="&amp;Z$5,'Leave Log'!$F$5:$F$304,"&lt;&gt;Rejected",'Leave Log'!$B$5:$B$304,"CL")&gt;0,"CL",IF(COUNTIFS('Leave Log'!$A$5:$A$304,$A7,'Leave Log'!$C$5:$C$304,"&lt;="&amp;Z$5,'Leave Log'!$D$5:$D$304,"&gt;="&amp;Z$5,'Leave Log'!$F$5:$F$304,"&lt;&gt;Rejected",'Leave Log'!$B$5:$B$304,"UL")&gt;0,"UL",IF(COUNTIFS('Leave Log'!$A$5:$A$304,$A7,'Leave Log'!$C$5:$C$304,"&lt;="&amp;Z$5,'Leave Log'!$D$5:$D$304,"&gt;="&amp;Z$5,'Leave Log'!$F$5:$F$304,"&lt;&gt;Rejected",'Leave Log'!$B$5:$B$304,"OT")&gt;0,"OT",""))))))</f>
        <v/>
      </c>
      <c r="AA7" s="12" t="str">
        <f aca="false">IF(OR(AA$5="",$A7=""),"",IF(COUNTIFS('Leave Log'!$A$5:$A$304,$A7,'Leave Log'!$C$5:$C$304,"&lt;="&amp;AA$5,'Leave Log'!$D$5:$D$304,"&gt;="&amp;AA$5,'Leave Log'!$F$5:$F$304,"&lt;&gt;Rejected",'Leave Log'!$B$5:$B$304,"AL")&gt;0,"AL",IF(COUNTIFS('Leave Log'!$A$5:$A$304,$A7,'Leave Log'!$C$5:$C$304,"&lt;="&amp;AA$5,'Leave Log'!$D$5:$D$304,"&gt;="&amp;AA$5,'Leave Log'!$F$5:$F$304,"&lt;&gt;Rejected",'Leave Log'!$B$5:$B$304,"SL")&gt;0,"SL",IF(COUNTIFS('Leave Log'!$A$5:$A$304,$A7,'Leave Log'!$C$5:$C$304,"&lt;="&amp;AA$5,'Leave Log'!$D$5:$D$304,"&gt;="&amp;AA$5,'Leave Log'!$F$5:$F$304,"&lt;&gt;Rejected",'Leave Log'!$B$5:$B$304,"CL")&gt;0,"CL",IF(COUNTIFS('Leave Log'!$A$5:$A$304,$A7,'Leave Log'!$C$5:$C$304,"&lt;="&amp;AA$5,'Leave Log'!$D$5:$D$304,"&gt;="&amp;AA$5,'Leave Log'!$F$5:$F$304,"&lt;&gt;Rejected",'Leave Log'!$B$5:$B$304,"UL")&gt;0,"UL",IF(COUNTIFS('Leave Log'!$A$5:$A$304,$A7,'Leave Log'!$C$5:$C$304,"&lt;="&amp;AA$5,'Leave Log'!$D$5:$D$304,"&gt;="&amp;AA$5,'Leave Log'!$F$5:$F$304,"&lt;&gt;Rejected",'Leave Log'!$B$5:$B$304,"OT")&gt;0,"OT",""))))))</f>
        <v/>
      </c>
      <c r="AB7" s="12" t="str">
        <f aca="false">IF(OR(AB$5="",$A7=""),"",IF(COUNTIFS('Leave Log'!$A$5:$A$304,$A7,'Leave Log'!$C$5:$C$304,"&lt;="&amp;AB$5,'Leave Log'!$D$5:$D$304,"&gt;="&amp;AB$5,'Leave Log'!$F$5:$F$304,"&lt;&gt;Rejected",'Leave Log'!$B$5:$B$304,"AL")&gt;0,"AL",IF(COUNTIFS('Leave Log'!$A$5:$A$304,$A7,'Leave Log'!$C$5:$C$304,"&lt;="&amp;AB$5,'Leave Log'!$D$5:$D$304,"&gt;="&amp;AB$5,'Leave Log'!$F$5:$F$304,"&lt;&gt;Rejected",'Leave Log'!$B$5:$B$304,"SL")&gt;0,"SL",IF(COUNTIFS('Leave Log'!$A$5:$A$304,$A7,'Leave Log'!$C$5:$C$304,"&lt;="&amp;AB$5,'Leave Log'!$D$5:$D$304,"&gt;="&amp;AB$5,'Leave Log'!$F$5:$F$304,"&lt;&gt;Rejected",'Leave Log'!$B$5:$B$304,"CL")&gt;0,"CL",IF(COUNTIFS('Leave Log'!$A$5:$A$304,$A7,'Leave Log'!$C$5:$C$304,"&lt;="&amp;AB$5,'Leave Log'!$D$5:$D$304,"&gt;="&amp;AB$5,'Leave Log'!$F$5:$F$304,"&lt;&gt;Rejected",'Leave Log'!$B$5:$B$304,"UL")&gt;0,"UL",IF(COUNTIFS('Leave Log'!$A$5:$A$304,$A7,'Leave Log'!$C$5:$C$304,"&lt;="&amp;AB$5,'Leave Log'!$D$5:$D$304,"&gt;="&amp;AB$5,'Leave Log'!$F$5:$F$304,"&lt;&gt;Rejected",'Leave Log'!$B$5:$B$304,"OT")&gt;0,"OT",""))))))</f>
        <v/>
      </c>
      <c r="AC7" s="12" t="str">
        <f aca="false">IF(OR(AC$5="",$A7=""),"",IF(COUNTIFS('Leave Log'!$A$5:$A$304,$A7,'Leave Log'!$C$5:$C$304,"&lt;="&amp;AC$5,'Leave Log'!$D$5:$D$304,"&gt;="&amp;AC$5,'Leave Log'!$F$5:$F$304,"&lt;&gt;Rejected",'Leave Log'!$B$5:$B$304,"AL")&gt;0,"AL",IF(COUNTIFS('Leave Log'!$A$5:$A$304,$A7,'Leave Log'!$C$5:$C$304,"&lt;="&amp;AC$5,'Leave Log'!$D$5:$D$304,"&gt;="&amp;AC$5,'Leave Log'!$F$5:$F$304,"&lt;&gt;Rejected",'Leave Log'!$B$5:$B$304,"SL")&gt;0,"SL",IF(COUNTIFS('Leave Log'!$A$5:$A$304,$A7,'Leave Log'!$C$5:$C$304,"&lt;="&amp;AC$5,'Leave Log'!$D$5:$D$304,"&gt;="&amp;AC$5,'Leave Log'!$F$5:$F$304,"&lt;&gt;Rejected",'Leave Log'!$B$5:$B$304,"CL")&gt;0,"CL",IF(COUNTIFS('Leave Log'!$A$5:$A$304,$A7,'Leave Log'!$C$5:$C$304,"&lt;="&amp;AC$5,'Leave Log'!$D$5:$D$304,"&gt;="&amp;AC$5,'Leave Log'!$F$5:$F$304,"&lt;&gt;Rejected",'Leave Log'!$B$5:$B$304,"UL")&gt;0,"UL",IF(COUNTIFS('Leave Log'!$A$5:$A$304,$A7,'Leave Log'!$C$5:$C$304,"&lt;="&amp;AC$5,'Leave Log'!$D$5:$D$304,"&gt;="&amp;AC$5,'Leave Log'!$F$5:$F$304,"&lt;&gt;Rejected",'Leave Log'!$B$5:$B$304,"OT")&gt;0,"OT",""))))))</f>
        <v/>
      </c>
      <c r="AD7" s="12" t="str">
        <f aca="false">IF(OR(AD$5="",$A7=""),"",IF(COUNTIFS('Leave Log'!$A$5:$A$304,$A7,'Leave Log'!$C$5:$C$304,"&lt;="&amp;AD$5,'Leave Log'!$D$5:$D$304,"&gt;="&amp;AD$5,'Leave Log'!$F$5:$F$304,"&lt;&gt;Rejected",'Leave Log'!$B$5:$B$304,"AL")&gt;0,"AL",IF(COUNTIFS('Leave Log'!$A$5:$A$304,$A7,'Leave Log'!$C$5:$C$304,"&lt;="&amp;AD$5,'Leave Log'!$D$5:$D$304,"&gt;="&amp;AD$5,'Leave Log'!$F$5:$F$304,"&lt;&gt;Rejected",'Leave Log'!$B$5:$B$304,"SL")&gt;0,"SL",IF(COUNTIFS('Leave Log'!$A$5:$A$304,$A7,'Leave Log'!$C$5:$C$304,"&lt;="&amp;AD$5,'Leave Log'!$D$5:$D$304,"&gt;="&amp;AD$5,'Leave Log'!$F$5:$F$304,"&lt;&gt;Rejected",'Leave Log'!$B$5:$B$304,"CL")&gt;0,"CL",IF(COUNTIFS('Leave Log'!$A$5:$A$304,$A7,'Leave Log'!$C$5:$C$304,"&lt;="&amp;AD$5,'Leave Log'!$D$5:$D$304,"&gt;="&amp;AD$5,'Leave Log'!$F$5:$F$304,"&lt;&gt;Rejected",'Leave Log'!$B$5:$B$304,"UL")&gt;0,"UL",IF(COUNTIFS('Leave Log'!$A$5:$A$304,$A7,'Leave Log'!$C$5:$C$304,"&lt;="&amp;AD$5,'Leave Log'!$D$5:$D$304,"&gt;="&amp;AD$5,'Leave Log'!$F$5:$F$304,"&lt;&gt;Rejected",'Leave Log'!$B$5:$B$304,"OT")&gt;0,"OT",""))))))</f>
        <v/>
      </c>
      <c r="AE7" s="12" t="str">
        <f aca="false">IF(OR(AE$5="",$A7=""),"",IF(COUNTIFS('Leave Log'!$A$5:$A$304,$A7,'Leave Log'!$C$5:$C$304,"&lt;="&amp;AE$5,'Leave Log'!$D$5:$D$304,"&gt;="&amp;AE$5,'Leave Log'!$F$5:$F$304,"&lt;&gt;Rejected",'Leave Log'!$B$5:$B$304,"AL")&gt;0,"AL",IF(COUNTIFS('Leave Log'!$A$5:$A$304,$A7,'Leave Log'!$C$5:$C$304,"&lt;="&amp;AE$5,'Leave Log'!$D$5:$D$304,"&gt;="&amp;AE$5,'Leave Log'!$F$5:$F$304,"&lt;&gt;Rejected",'Leave Log'!$B$5:$B$304,"SL")&gt;0,"SL",IF(COUNTIFS('Leave Log'!$A$5:$A$304,$A7,'Leave Log'!$C$5:$C$304,"&lt;="&amp;AE$5,'Leave Log'!$D$5:$D$304,"&gt;="&amp;AE$5,'Leave Log'!$F$5:$F$304,"&lt;&gt;Rejected",'Leave Log'!$B$5:$B$304,"CL")&gt;0,"CL",IF(COUNTIFS('Leave Log'!$A$5:$A$304,$A7,'Leave Log'!$C$5:$C$304,"&lt;="&amp;AE$5,'Leave Log'!$D$5:$D$304,"&gt;="&amp;AE$5,'Leave Log'!$F$5:$F$304,"&lt;&gt;Rejected",'Leave Log'!$B$5:$B$304,"UL")&gt;0,"UL",IF(COUNTIFS('Leave Log'!$A$5:$A$304,$A7,'Leave Log'!$C$5:$C$304,"&lt;="&amp;AE$5,'Leave Log'!$D$5:$D$304,"&gt;="&amp;AE$5,'Leave Log'!$F$5:$F$304,"&lt;&gt;Rejected",'Leave Log'!$B$5:$B$304,"OT")&gt;0,"OT",""))))))</f>
        <v/>
      </c>
      <c r="AF7" s="12" t="str">
        <f aca="false">IF(OR(AF$5="",$A7=""),"",IF(COUNTIFS('Leave Log'!$A$5:$A$304,$A7,'Leave Log'!$C$5:$C$304,"&lt;="&amp;AF$5,'Leave Log'!$D$5:$D$304,"&gt;="&amp;AF$5,'Leave Log'!$F$5:$F$304,"&lt;&gt;Rejected",'Leave Log'!$B$5:$B$304,"AL")&gt;0,"AL",IF(COUNTIFS('Leave Log'!$A$5:$A$304,$A7,'Leave Log'!$C$5:$C$304,"&lt;="&amp;AF$5,'Leave Log'!$D$5:$D$304,"&gt;="&amp;AF$5,'Leave Log'!$F$5:$F$304,"&lt;&gt;Rejected",'Leave Log'!$B$5:$B$304,"SL")&gt;0,"SL",IF(COUNTIFS('Leave Log'!$A$5:$A$304,$A7,'Leave Log'!$C$5:$C$304,"&lt;="&amp;AF$5,'Leave Log'!$D$5:$D$304,"&gt;="&amp;AF$5,'Leave Log'!$F$5:$F$304,"&lt;&gt;Rejected",'Leave Log'!$B$5:$B$304,"CL")&gt;0,"CL",IF(COUNTIFS('Leave Log'!$A$5:$A$304,$A7,'Leave Log'!$C$5:$C$304,"&lt;="&amp;AF$5,'Leave Log'!$D$5:$D$304,"&gt;="&amp;AF$5,'Leave Log'!$F$5:$F$304,"&lt;&gt;Rejected",'Leave Log'!$B$5:$B$304,"UL")&gt;0,"UL",IF(COUNTIFS('Leave Log'!$A$5:$A$304,$A7,'Leave Log'!$C$5:$C$304,"&lt;="&amp;AF$5,'Leave Log'!$D$5:$D$304,"&gt;="&amp;AF$5,'Leave Log'!$F$5:$F$304,"&lt;&gt;Rejected",'Leave Log'!$B$5:$B$304,"OT")&gt;0,"OT",""))))))</f>
        <v/>
      </c>
      <c r="AG7" s="12" t="str">
        <f aca="false">IF(OR(AG$5="",$A7=""),"",IF(COUNTIFS('Leave Log'!$A$5:$A$304,$A7,'Leave Log'!$C$5:$C$304,"&lt;="&amp;AG$5,'Leave Log'!$D$5:$D$304,"&gt;="&amp;AG$5,'Leave Log'!$F$5:$F$304,"&lt;&gt;Rejected",'Leave Log'!$B$5:$B$304,"AL")&gt;0,"AL",IF(COUNTIFS('Leave Log'!$A$5:$A$304,$A7,'Leave Log'!$C$5:$C$304,"&lt;="&amp;AG$5,'Leave Log'!$D$5:$D$304,"&gt;="&amp;AG$5,'Leave Log'!$F$5:$F$304,"&lt;&gt;Rejected",'Leave Log'!$B$5:$B$304,"SL")&gt;0,"SL",IF(COUNTIFS('Leave Log'!$A$5:$A$304,$A7,'Leave Log'!$C$5:$C$304,"&lt;="&amp;AG$5,'Leave Log'!$D$5:$D$304,"&gt;="&amp;AG$5,'Leave Log'!$F$5:$F$304,"&lt;&gt;Rejected",'Leave Log'!$B$5:$B$304,"CL")&gt;0,"CL",IF(COUNTIFS('Leave Log'!$A$5:$A$304,$A7,'Leave Log'!$C$5:$C$304,"&lt;="&amp;AG$5,'Leave Log'!$D$5:$D$304,"&gt;="&amp;AG$5,'Leave Log'!$F$5:$F$304,"&lt;&gt;Rejected",'Leave Log'!$B$5:$B$304,"UL")&gt;0,"UL",IF(COUNTIFS('Leave Log'!$A$5:$A$304,$A7,'Leave Log'!$C$5:$C$304,"&lt;="&amp;AG$5,'Leave Log'!$D$5:$D$304,"&gt;="&amp;AG$5,'Leave Log'!$F$5:$F$304,"&lt;&gt;Rejected",'Leave Log'!$B$5:$B$304,"OT")&gt;0,"OT",""))))))</f>
        <v/>
      </c>
    </row>
    <row r="8" customFormat="false" ht="15" hidden="false" customHeight="false" outlineLevel="0" collapsed="false">
      <c r="A8" s="3" t="str">
        <f aca="false">IF(Employees!B7="","",Employees!B7)</f>
        <v>Chloe Martin</v>
      </c>
      <c r="B8" s="11" t="str">
        <f aca="false">IF(Employees!B7="","",Employees!C7)</f>
        <v>Finance</v>
      </c>
      <c r="C8" s="12" t="str">
        <f aca="false">IF(OR(C$5="",$A8=""),"",IF(COUNTIFS('Leave Log'!$A$5:$A$304,$A8,'Leave Log'!$C$5:$C$304,"&lt;="&amp;C$5,'Leave Log'!$D$5:$D$304,"&gt;="&amp;C$5,'Leave Log'!$F$5:$F$304,"&lt;&gt;Rejected",'Leave Log'!$B$5:$B$304,"AL")&gt;0,"AL",IF(COUNTIFS('Leave Log'!$A$5:$A$304,$A8,'Leave Log'!$C$5:$C$304,"&lt;="&amp;C$5,'Leave Log'!$D$5:$D$304,"&gt;="&amp;C$5,'Leave Log'!$F$5:$F$304,"&lt;&gt;Rejected",'Leave Log'!$B$5:$B$304,"SL")&gt;0,"SL",IF(COUNTIFS('Leave Log'!$A$5:$A$304,$A8,'Leave Log'!$C$5:$C$304,"&lt;="&amp;C$5,'Leave Log'!$D$5:$D$304,"&gt;="&amp;C$5,'Leave Log'!$F$5:$F$304,"&lt;&gt;Rejected",'Leave Log'!$B$5:$B$304,"CL")&gt;0,"CL",IF(COUNTIFS('Leave Log'!$A$5:$A$304,$A8,'Leave Log'!$C$5:$C$304,"&lt;="&amp;C$5,'Leave Log'!$D$5:$D$304,"&gt;="&amp;C$5,'Leave Log'!$F$5:$F$304,"&lt;&gt;Rejected",'Leave Log'!$B$5:$B$304,"UL")&gt;0,"UL",IF(COUNTIFS('Leave Log'!$A$5:$A$304,$A8,'Leave Log'!$C$5:$C$304,"&lt;="&amp;C$5,'Leave Log'!$D$5:$D$304,"&gt;="&amp;C$5,'Leave Log'!$F$5:$F$304,"&lt;&gt;Rejected",'Leave Log'!$B$5:$B$304,"OT")&gt;0,"OT",""))))))</f>
        <v/>
      </c>
      <c r="D8" s="12" t="str">
        <f aca="false">IF(OR(D$5="",$A8=""),"",IF(COUNTIFS('Leave Log'!$A$5:$A$304,$A8,'Leave Log'!$C$5:$C$304,"&lt;="&amp;D$5,'Leave Log'!$D$5:$D$304,"&gt;="&amp;D$5,'Leave Log'!$F$5:$F$304,"&lt;&gt;Rejected",'Leave Log'!$B$5:$B$304,"AL")&gt;0,"AL",IF(COUNTIFS('Leave Log'!$A$5:$A$304,$A8,'Leave Log'!$C$5:$C$304,"&lt;="&amp;D$5,'Leave Log'!$D$5:$D$304,"&gt;="&amp;D$5,'Leave Log'!$F$5:$F$304,"&lt;&gt;Rejected",'Leave Log'!$B$5:$B$304,"SL")&gt;0,"SL",IF(COUNTIFS('Leave Log'!$A$5:$A$304,$A8,'Leave Log'!$C$5:$C$304,"&lt;="&amp;D$5,'Leave Log'!$D$5:$D$304,"&gt;="&amp;D$5,'Leave Log'!$F$5:$F$304,"&lt;&gt;Rejected",'Leave Log'!$B$5:$B$304,"CL")&gt;0,"CL",IF(COUNTIFS('Leave Log'!$A$5:$A$304,$A8,'Leave Log'!$C$5:$C$304,"&lt;="&amp;D$5,'Leave Log'!$D$5:$D$304,"&gt;="&amp;D$5,'Leave Log'!$F$5:$F$304,"&lt;&gt;Rejected",'Leave Log'!$B$5:$B$304,"UL")&gt;0,"UL",IF(COUNTIFS('Leave Log'!$A$5:$A$304,$A8,'Leave Log'!$C$5:$C$304,"&lt;="&amp;D$5,'Leave Log'!$D$5:$D$304,"&gt;="&amp;D$5,'Leave Log'!$F$5:$F$304,"&lt;&gt;Rejected",'Leave Log'!$B$5:$B$304,"OT")&gt;0,"OT",""))))))</f>
        <v/>
      </c>
      <c r="E8" s="12" t="str">
        <f aca="false">IF(OR(E$5="",$A8=""),"",IF(COUNTIFS('Leave Log'!$A$5:$A$304,$A8,'Leave Log'!$C$5:$C$304,"&lt;="&amp;E$5,'Leave Log'!$D$5:$D$304,"&gt;="&amp;E$5,'Leave Log'!$F$5:$F$304,"&lt;&gt;Rejected",'Leave Log'!$B$5:$B$304,"AL")&gt;0,"AL",IF(COUNTIFS('Leave Log'!$A$5:$A$304,$A8,'Leave Log'!$C$5:$C$304,"&lt;="&amp;E$5,'Leave Log'!$D$5:$D$304,"&gt;="&amp;E$5,'Leave Log'!$F$5:$F$304,"&lt;&gt;Rejected",'Leave Log'!$B$5:$B$304,"SL")&gt;0,"SL",IF(COUNTIFS('Leave Log'!$A$5:$A$304,$A8,'Leave Log'!$C$5:$C$304,"&lt;="&amp;E$5,'Leave Log'!$D$5:$D$304,"&gt;="&amp;E$5,'Leave Log'!$F$5:$F$304,"&lt;&gt;Rejected",'Leave Log'!$B$5:$B$304,"CL")&gt;0,"CL",IF(COUNTIFS('Leave Log'!$A$5:$A$304,$A8,'Leave Log'!$C$5:$C$304,"&lt;="&amp;E$5,'Leave Log'!$D$5:$D$304,"&gt;="&amp;E$5,'Leave Log'!$F$5:$F$304,"&lt;&gt;Rejected",'Leave Log'!$B$5:$B$304,"UL")&gt;0,"UL",IF(COUNTIFS('Leave Log'!$A$5:$A$304,$A8,'Leave Log'!$C$5:$C$304,"&lt;="&amp;E$5,'Leave Log'!$D$5:$D$304,"&gt;="&amp;E$5,'Leave Log'!$F$5:$F$304,"&lt;&gt;Rejected",'Leave Log'!$B$5:$B$304,"OT")&gt;0,"OT",""))))))</f>
        <v/>
      </c>
      <c r="F8" s="12" t="str">
        <f aca="false">IF(OR(F$5="",$A8=""),"",IF(COUNTIFS('Leave Log'!$A$5:$A$304,$A8,'Leave Log'!$C$5:$C$304,"&lt;="&amp;F$5,'Leave Log'!$D$5:$D$304,"&gt;="&amp;F$5,'Leave Log'!$F$5:$F$304,"&lt;&gt;Rejected",'Leave Log'!$B$5:$B$304,"AL")&gt;0,"AL",IF(COUNTIFS('Leave Log'!$A$5:$A$304,$A8,'Leave Log'!$C$5:$C$304,"&lt;="&amp;F$5,'Leave Log'!$D$5:$D$304,"&gt;="&amp;F$5,'Leave Log'!$F$5:$F$304,"&lt;&gt;Rejected",'Leave Log'!$B$5:$B$304,"SL")&gt;0,"SL",IF(COUNTIFS('Leave Log'!$A$5:$A$304,$A8,'Leave Log'!$C$5:$C$304,"&lt;="&amp;F$5,'Leave Log'!$D$5:$D$304,"&gt;="&amp;F$5,'Leave Log'!$F$5:$F$304,"&lt;&gt;Rejected",'Leave Log'!$B$5:$B$304,"CL")&gt;0,"CL",IF(COUNTIFS('Leave Log'!$A$5:$A$304,$A8,'Leave Log'!$C$5:$C$304,"&lt;="&amp;F$5,'Leave Log'!$D$5:$D$304,"&gt;="&amp;F$5,'Leave Log'!$F$5:$F$304,"&lt;&gt;Rejected",'Leave Log'!$B$5:$B$304,"UL")&gt;0,"UL",IF(COUNTIFS('Leave Log'!$A$5:$A$304,$A8,'Leave Log'!$C$5:$C$304,"&lt;="&amp;F$5,'Leave Log'!$D$5:$D$304,"&gt;="&amp;F$5,'Leave Log'!$F$5:$F$304,"&lt;&gt;Rejected",'Leave Log'!$B$5:$B$304,"OT")&gt;0,"OT",""))))))</f>
        <v/>
      </c>
      <c r="G8" s="12" t="str">
        <f aca="false">IF(OR(G$5="",$A8=""),"",IF(COUNTIFS('Leave Log'!$A$5:$A$304,$A8,'Leave Log'!$C$5:$C$304,"&lt;="&amp;G$5,'Leave Log'!$D$5:$D$304,"&gt;="&amp;G$5,'Leave Log'!$F$5:$F$304,"&lt;&gt;Rejected",'Leave Log'!$B$5:$B$304,"AL")&gt;0,"AL",IF(COUNTIFS('Leave Log'!$A$5:$A$304,$A8,'Leave Log'!$C$5:$C$304,"&lt;="&amp;G$5,'Leave Log'!$D$5:$D$304,"&gt;="&amp;G$5,'Leave Log'!$F$5:$F$304,"&lt;&gt;Rejected",'Leave Log'!$B$5:$B$304,"SL")&gt;0,"SL",IF(COUNTIFS('Leave Log'!$A$5:$A$304,$A8,'Leave Log'!$C$5:$C$304,"&lt;="&amp;G$5,'Leave Log'!$D$5:$D$304,"&gt;="&amp;G$5,'Leave Log'!$F$5:$F$304,"&lt;&gt;Rejected",'Leave Log'!$B$5:$B$304,"CL")&gt;0,"CL",IF(COUNTIFS('Leave Log'!$A$5:$A$304,$A8,'Leave Log'!$C$5:$C$304,"&lt;="&amp;G$5,'Leave Log'!$D$5:$D$304,"&gt;="&amp;G$5,'Leave Log'!$F$5:$F$304,"&lt;&gt;Rejected",'Leave Log'!$B$5:$B$304,"UL")&gt;0,"UL",IF(COUNTIFS('Leave Log'!$A$5:$A$304,$A8,'Leave Log'!$C$5:$C$304,"&lt;="&amp;G$5,'Leave Log'!$D$5:$D$304,"&gt;="&amp;G$5,'Leave Log'!$F$5:$F$304,"&lt;&gt;Rejected",'Leave Log'!$B$5:$B$304,"OT")&gt;0,"OT",""))))))</f>
        <v/>
      </c>
      <c r="H8" s="12" t="str">
        <f aca="false">IF(OR(H$5="",$A8=""),"",IF(COUNTIFS('Leave Log'!$A$5:$A$304,$A8,'Leave Log'!$C$5:$C$304,"&lt;="&amp;H$5,'Leave Log'!$D$5:$D$304,"&gt;="&amp;H$5,'Leave Log'!$F$5:$F$304,"&lt;&gt;Rejected",'Leave Log'!$B$5:$B$304,"AL")&gt;0,"AL",IF(COUNTIFS('Leave Log'!$A$5:$A$304,$A8,'Leave Log'!$C$5:$C$304,"&lt;="&amp;H$5,'Leave Log'!$D$5:$D$304,"&gt;="&amp;H$5,'Leave Log'!$F$5:$F$304,"&lt;&gt;Rejected",'Leave Log'!$B$5:$B$304,"SL")&gt;0,"SL",IF(COUNTIFS('Leave Log'!$A$5:$A$304,$A8,'Leave Log'!$C$5:$C$304,"&lt;="&amp;H$5,'Leave Log'!$D$5:$D$304,"&gt;="&amp;H$5,'Leave Log'!$F$5:$F$304,"&lt;&gt;Rejected",'Leave Log'!$B$5:$B$304,"CL")&gt;0,"CL",IF(COUNTIFS('Leave Log'!$A$5:$A$304,$A8,'Leave Log'!$C$5:$C$304,"&lt;="&amp;H$5,'Leave Log'!$D$5:$D$304,"&gt;="&amp;H$5,'Leave Log'!$F$5:$F$304,"&lt;&gt;Rejected",'Leave Log'!$B$5:$B$304,"UL")&gt;0,"UL",IF(COUNTIFS('Leave Log'!$A$5:$A$304,$A8,'Leave Log'!$C$5:$C$304,"&lt;="&amp;H$5,'Leave Log'!$D$5:$D$304,"&gt;="&amp;H$5,'Leave Log'!$F$5:$F$304,"&lt;&gt;Rejected",'Leave Log'!$B$5:$B$304,"OT")&gt;0,"OT",""))))))</f>
        <v/>
      </c>
      <c r="I8" s="12" t="str">
        <f aca="false">IF(OR(I$5="",$A8=""),"",IF(COUNTIFS('Leave Log'!$A$5:$A$304,$A8,'Leave Log'!$C$5:$C$304,"&lt;="&amp;I$5,'Leave Log'!$D$5:$D$304,"&gt;="&amp;I$5,'Leave Log'!$F$5:$F$304,"&lt;&gt;Rejected",'Leave Log'!$B$5:$B$304,"AL")&gt;0,"AL",IF(COUNTIFS('Leave Log'!$A$5:$A$304,$A8,'Leave Log'!$C$5:$C$304,"&lt;="&amp;I$5,'Leave Log'!$D$5:$D$304,"&gt;="&amp;I$5,'Leave Log'!$F$5:$F$304,"&lt;&gt;Rejected",'Leave Log'!$B$5:$B$304,"SL")&gt;0,"SL",IF(COUNTIFS('Leave Log'!$A$5:$A$304,$A8,'Leave Log'!$C$5:$C$304,"&lt;="&amp;I$5,'Leave Log'!$D$5:$D$304,"&gt;="&amp;I$5,'Leave Log'!$F$5:$F$304,"&lt;&gt;Rejected",'Leave Log'!$B$5:$B$304,"CL")&gt;0,"CL",IF(COUNTIFS('Leave Log'!$A$5:$A$304,$A8,'Leave Log'!$C$5:$C$304,"&lt;="&amp;I$5,'Leave Log'!$D$5:$D$304,"&gt;="&amp;I$5,'Leave Log'!$F$5:$F$304,"&lt;&gt;Rejected",'Leave Log'!$B$5:$B$304,"UL")&gt;0,"UL",IF(COUNTIFS('Leave Log'!$A$5:$A$304,$A8,'Leave Log'!$C$5:$C$304,"&lt;="&amp;I$5,'Leave Log'!$D$5:$D$304,"&gt;="&amp;I$5,'Leave Log'!$F$5:$F$304,"&lt;&gt;Rejected",'Leave Log'!$B$5:$B$304,"OT")&gt;0,"OT",""))))))</f>
        <v/>
      </c>
      <c r="J8" s="12" t="str">
        <f aca="false">IF(OR(J$5="",$A8=""),"",IF(COUNTIFS('Leave Log'!$A$5:$A$304,$A8,'Leave Log'!$C$5:$C$304,"&lt;="&amp;J$5,'Leave Log'!$D$5:$D$304,"&gt;="&amp;J$5,'Leave Log'!$F$5:$F$304,"&lt;&gt;Rejected",'Leave Log'!$B$5:$B$304,"AL")&gt;0,"AL",IF(COUNTIFS('Leave Log'!$A$5:$A$304,$A8,'Leave Log'!$C$5:$C$304,"&lt;="&amp;J$5,'Leave Log'!$D$5:$D$304,"&gt;="&amp;J$5,'Leave Log'!$F$5:$F$304,"&lt;&gt;Rejected",'Leave Log'!$B$5:$B$304,"SL")&gt;0,"SL",IF(COUNTIFS('Leave Log'!$A$5:$A$304,$A8,'Leave Log'!$C$5:$C$304,"&lt;="&amp;J$5,'Leave Log'!$D$5:$D$304,"&gt;="&amp;J$5,'Leave Log'!$F$5:$F$304,"&lt;&gt;Rejected",'Leave Log'!$B$5:$B$304,"CL")&gt;0,"CL",IF(COUNTIFS('Leave Log'!$A$5:$A$304,$A8,'Leave Log'!$C$5:$C$304,"&lt;="&amp;J$5,'Leave Log'!$D$5:$D$304,"&gt;="&amp;J$5,'Leave Log'!$F$5:$F$304,"&lt;&gt;Rejected",'Leave Log'!$B$5:$B$304,"UL")&gt;0,"UL",IF(COUNTIFS('Leave Log'!$A$5:$A$304,$A8,'Leave Log'!$C$5:$C$304,"&lt;="&amp;J$5,'Leave Log'!$D$5:$D$304,"&gt;="&amp;J$5,'Leave Log'!$F$5:$F$304,"&lt;&gt;Rejected",'Leave Log'!$B$5:$B$304,"OT")&gt;0,"OT",""))))))</f>
        <v/>
      </c>
      <c r="K8" s="12" t="str">
        <f aca="false">IF(OR(K$5="",$A8=""),"",IF(COUNTIFS('Leave Log'!$A$5:$A$304,$A8,'Leave Log'!$C$5:$C$304,"&lt;="&amp;K$5,'Leave Log'!$D$5:$D$304,"&gt;="&amp;K$5,'Leave Log'!$F$5:$F$304,"&lt;&gt;Rejected",'Leave Log'!$B$5:$B$304,"AL")&gt;0,"AL",IF(COUNTIFS('Leave Log'!$A$5:$A$304,$A8,'Leave Log'!$C$5:$C$304,"&lt;="&amp;K$5,'Leave Log'!$D$5:$D$304,"&gt;="&amp;K$5,'Leave Log'!$F$5:$F$304,"&lt;&gt;Rejected",'Leave Log'!$B$5:$B$304,"SL")&gt;0,"SL",IF(COUNTIFS('Leave Log'!$A$5:$A$304,$A8,'Leave Log'!$C$5:$C$304,"&lt;="&amp;K$5,'Leave Log'!$D$5:$D$304,"&gt;="&amp;K$5,'Leave Log'!$F$5:$F$304,"&lt;&gt;Rejected",'Leave Log'!$B$5:$B$304,"CL")&gt;0,"CL",IF(COUNTIFS('Leave Log'!$A$5:$A$304,$A8,'Leave Log'!$C$5:$C$304,"&lt;="&amp;K$5,'Leave Log'!$D$5:$D$304,"&gt;="&amp;K$5,'Leave Log'!$F$5:$F$304,"&lt;&gt;Rejected",'Leave Log'!$B$5:$B$304,"UL")&gt;0,"UL",IF(COUNTIFS('Leave Log'!$A$5:$A$304,$A8,'Leave Log'!$C$5:$C$304,"&lt;="&amp;K$5,'Leave Log'!$D$5:$D$304,"&gt;="&amp;K$5,'Leave Log'!$F$5:$F$304,"&lt;&gt;Rejected",'Leave Log'!$B$5:$B$304,"OT")&gt;0,"OT",""))))))</f>
        <v/>
      </c>
      <c r="L8" s="12" t="str">
        <f aca="false">IF(OR(L$5="",$A8=""),"",IF(COUNTIFS('Leave Log'!$A$5:$A$304,$A8,'Leave Log'!$C$5:$C$304,"&lt;="&amp;L$5,'Leave Log'!$D$5:$D$304,"&gt;="&amp;L$5,'Leave Log'!$F$5:$F$304,"&lt;&gt;Rejected",'Leave Log'!$B$5:$B$304,"AL")&gt;0,"AL",IF(COUNTIFS('Leave Log'!$A$5:$A$304,$A8,'Leave Log'!$C$5:$C$304,"&lt;="&amp;L$5,'Leave Log'!$D$5:$D$304,"&gt;="&amp;L$5,'Leave Log'!$F$5:$F$304,"&lt;&gt;Rejected",'Leave Log'!$B$5:$B$304,"SL")&gt;0,"SL",IF(COUNTIFS('Leave Log'!$A$5:$A$304,$A8,'Leave Log'!$C$5:$C$304,"&lt;="&amp;L$5,'Leave Log'!$D$5:$D$304,"&gt;="&amp;L$5,'Leave Log'!$F$5:$F$304,"&lt;&gt;Rejected",'Leave Log'!$B$5:$B$304,"CL")&gt;0,"CL",IF(COUNTIFS('Leave Log'!$A$5:$A$304,$A8,'Leave Log'!$C$5:$C$304,"&lt;="&amp;L$5,'Leave Log'!$D$5:$D$304,"&gt;="&amp;L$5,'Leave Log'!$F$5:$F$304,"&lt;&gt;Rejected",'Leave Log'!$B$5:$B$304,"UL")&gt;0,"UL",IF(COUNTIFS('Leave Log'!$A$5:$A$304,$A8,'Leave Log'!$C$5:$C$304,"&lt;="&amp;L$5,'Leave Log'!$D$5:$D$304,"&gt;="&amp;L$5,'Leave Log'!$F$5:$F$304,"&lt;&gt;Rejected",'Leave Log'!$B$5:$B$304,"OT")&gt;0,"OT",""))))))</f>
        <v/>
      </c>
      <c r="M8" s="12" t="str">
        <f aca="false">IF(OR(M$5="",$A8=""),"",IF(COUNTIFS('Leave Log'!$A$5:$A$304,$A8,'Leave Log'!$C$5:$C$304,"&lt;="&amp;M$5,'Leave Log'!$D$5:$D$304,"&gt;="&amp;M$5,'Leave Log'!$F$5:$F$304,"&lt;&gt;Rejected",'Leave Log'!$B$5:$B$304,"AL")&gt;0,"AL",IF(COUNTIFS('Leave Log'!$A$5:$A$304,$A8,'Leave Log'!$C$5:$C$304,"&lt;="&amp;M$5,'Leave Log'!$D$5:$D$304,"&gt;="&amp;M$5,'Leave Log'!$F$5:$F$304,"&lt;&gt;Rejected",'Leave Log'!$B$5:$B$304,"SL")&gt;0,"SL",IF(COUNTIFS('Leave Log'!$A$5:$A$304,$A8,'Leave Log'!$C$5:$C$304,"&lt;="&amp;M$5,'Leave Log'!$D$5:$D$304,"&gt;="&amp;M$5,'Leave Log'!$F$5:$F$304,"&lt;&gt;Rejected",'Leave Log'!$B$5:$B$304,"CL")&gt;0,"CL",IF(COUNTIFS('Leave Log'!$A$5:$A$304,$A8,'Leave Log'!$C$5:$C$304,"&lt;="&amp;M$5,'Leave Log'!$D$5:$D$304,"&gt;="&amp;M$5,'Leave Log'!$F$5:$F$304,"&lt;&gt;Rejected",'Leave Log'!$B$5:$B$304,"UL")&gt;0,"UL",IF(COUNTIFS('Leave Log'!$A$5:$A$304,$A8,'Leave Log'!$C$5:$C$304,"&lt;="&amp;M$5,'Leave Log'!$D$5:$D$304,"&gt;="&amp;M$5,'Leave Log'!$F$5:$F$304,"&lt;&gt;Rejected",'Leave Log'!$B$5:$B$304,"OT")&gt;0,"OT",""))))))</f>
        <v/>
      </c>
      <c r="N8" s="12" t="str">
        <f aca="false">IF(OR(N$5="",$A8=""),"",IF(COUNTIFS('Leave Log'!$A$5:$A$304,$A8,'Leave Log'!$C$5:$C$304,"&lt;="&amp;N$5,'Leave Log'!$D$5:$D$304,"&gt;="&amp;N$5,'Leave Log'!$F$5:$F$304,"&lt;&gt;Rejected",'Leave Log'!$B$5:$B$304,"AL")&gt;0,"AL",IF(COUNTIFS('Leave Log'!$A$5:$A$304,$A8,'Leave Log'!$C$5:$C$304,"&lt;="&amp;N$5,'Leave Log'!$D$5:$D$304,"&gt;="&amp;N$5,'Leave Log'!$F$5:$F$304,"&lt;&gt;Rejected",'Leave Log'!$B$5:$B$304,"SL")&gt;0,"SL",IF(COUNTIFS('Leave Log'!$A$5:$A$304,$A8,'Leave Log'!$C$5:$C$304,"&lt;="&amp;N$5,'Leave Log'!$D$5:$D$304,"&gt;="&amp;N$5,'Leave Log'!$F$5:$F$304,"&lt;&gt;Rejected",'Leave Log'!$B$5:$B$304,"CL")&gt;0,"CL",IF(COUNTIFS('Leave Log'!$A$5:$A$304,$A8,'Leave Log'!$C$5:$C$304,"&lt;="&amp;N$5,'Leave Log'!$D$5:$D$304,"&gt;="&amp;N$5,'Leave Log'!$F$5:$F$304,"&lt;&gt;Rejected",'Leave Log'!$B$5:$B$304,"UL")&gt;0,"UL",IF(COUNTIFS('Leave Log'!$A$5:$A$304,$A8,'Leave Log'!$C$5:$C$304,"&lt;="&amp;N$5,'Leave Log'!$D$5:$D$304,"&gt;="&amp;N$5,'Leave Log'!$F$5:$F$304,"&lt;&gt;Rejected",'Leave Log'!$B$5:$B$304,"OT")&gt;0,"OT",""))))))</f>
        <v/>
      </c>
      <c r="O8" s="12" t="str">
        <f aca="false">IF(OR(O$5="",$A8=""),"",IF(COUNTIFS('Leave Log'!$A$5:$A$304,$A8,'Leave Log'!$C$5:$C$304,"&lt;="&amp;O$5,'Leave Log'!$D$5:$D$304,"&gt;="&amp;O$5,'Leave Log'!$F$5:$F$304,"&lt;&gt;Rejected",'Leave Log'!$B$5:$B$304,"AL")&gt;0,"AL",IF(COUNTIFS('Leave Log'!$A$5:$A$304,$A8,'Leave Log'!$C$5:$C$304,"&lt;="&amp;O$5,'Leave Log'!$D$5:$D$304,"&gt;="&amp;O$5,'Leave Log'!$F$5:$F$304,"&lt;&gt;Rejected",'Leave Log'!$B$5:$B$304,"SL")&gt;0,"SL",IF(COUNTIFS('Leave Log'!$A$5:$A$304,$A8,'Leave Log'!$C$5:$C$304,"&lt;="&amp;O$5,'Leave Log'!$D$5:$D$304,"&gt;="&amp;O$5,'Leave Log'!$F$5:$F$304,"&lt;&gt;Rejected",'Leave Log'!$B$5:$B$304,"CL")&gt;0,"CL",IF(COUNTIFS('Leave Log'!$A$5:$A$304,$A8,'Leave Log'!$C$5:$C$304,"&lt;="&amp;O$5,'Leave Log'!$D$5:$D$304,"&gt;="&amp;O$5,'Leave Log'!$F$5:$F$304,"&lt;&gt;Rejected",'Leave Log'!$B$5:$B$304,"UL")&gt;0,"UL",IF(COUNTIFS('Leave Log'!$A$5:$A$304,$A8,'Leave Log'!$C$5:$C$304,"&lt;="&amp;O$5,'Leave Log'!$D$5:$D$304,"&gt;="&amp;O$5,'Leave Log'!$F$5:$F$304,"&lt;&gt;Rejected",'Leave Log'!$B$5:$B$304,"OT")&gt;0,"OT",""))))))</f>
        <v/>
      </c>
      <c r="P8" s="12" t="str">
        <f aca="false">IF(OR(P$5="",$A8=""),"",IF(COUNTIFS('Leave Log'!$A$5:$A$304,$A8,'Leave Log'!$C$5:$C$304,"&lt;="&amp;P$5,'Leave Log'!$D$5:$D$304,"&gt;="&amp;P$5,'Leave Log'!$F$5:$F$304,"&lt;&gt;Rejected",'Leave Log'!$B$5:$B$304,"AL")&gt;0,"AL",IF(COUNTIFS('Leave Log'!$A$5:$A$304,$A8,'Leave Log'!$C$5:$C$304,"&lt;="&amp;P$5,'Leave Log'!$D$5:$D$304,"&gt;="&amp;P$5,'Leave Log'!$F$5:$F$304,"&lt;&gt;Rejected",'Leave Log'!$B$5:$B$304,"SL")&gt;0,"SL",IF(COUNTIFS('Leave Log'!$A$5:$A$304,$A8,'Leave Log'!$C$5:$C$304,"&lt;="&amp;P$5,'Leave Log'!$D$5:$D$304,"&gt;="&amp;P$5,'Leave Log'!$F$5:$F$304,"&lt;&gt;Rejected",'Leave Log'!$B$5:$B$304,"CL")&gt;0,"CL",IF(COUNTIFS('Leave Log'!$A$5:$A$304,$A8,'Leave Log'!$C$5:$C$304,"&lt;="&amp;P$5,'Leave Log'!$D$5:$D$304,"&gt;="&amp;P$5,'Leave Log'!$F$5:$F$304,"&lt;&gt;Rejected",'Leave Log'!$B$5:$B$304,"UL")&gt;0,"UL",IF(COUNTIFS('Leave Log'!$A$5:$A$304,$A8,'Leave Log'!$C$5:$C$304,"&lt;="&amp;P$5,'Leave Log'!$D$5:$D$304,"&gt;="&amp;P$5,'Leave Log'!$F$5:$F$304,"&lt;&gt;Rejected",'Leave Log'!$B$5:$B$304,"OT")&gt;0,"OT",""))))))</f>
        <v/>
      </c>
      <c r="Q8" s="12" t="str">
        <f aca="false">IF(OR(Q$5="",$A8=""),"",IF(COUNTIFS('Leave Log'!$A$5:$A$304,$A8,'Leave Log'!$C$5:$C$304,"&lt;="&amp;Q$5,'Leave Log'!$D$5:$D$304,"&gt;="&amp;Q$5,'Leave Log'!$F$5:$F$304,"&lt;&gt;Rejected",'Leave Log'!$B$5:$B$304,"AL")&gt;0,"AL",IF(COUNTIFS('Leave Log'!$A$5:$A$304,$A8,'Leave Log'!$C$5:$C$304,"&lt;="&amp;Q$5,'Leave Log'!$D$5:$D$304,"&gt;="&amp;Q$5,'Leave Log'!$F$5:$F$304,"&lt;&gt;Rejected",'Leave Log'!$B$5:$B$304,"SL")&gt;0,"SL",IF(COUNTIFS('Leave Log'!$A$5:$A$304,$A8,'Leave Log'!$C$5:$C$304,"&lt;="&amp;Q$5,'Leave Log'!$D$5:$D$304,"&gt;="&amp;Q$5,'Leave Log'!$F$5:$F$304,"&lt;&gt;Rejected",'Leave Log'!$B$5:$B$304,"CL")&gt;0,"CL",IF(COUNTIFS('Leave Log'!$A$5:$A$304,$A8,'Leave Log'!$C$5:$C$304,"&lt;="&amp;Q$5,'Leave Log'!$D$5:$D$304,"&gt;="&amp;Q$5,'Leave Log'!$F$5:$F$304,"&lt;&gt;Rejected",'Leave Log'!$B$5:$B$304,"UL")&gt;0,"UL",IF(COUNTIFS('Leave Log'!$A$5:$A$304,$A8,'Leave Log'!$C$5:$C$304,"&lt;="&amp;Q$5,'Leave Log'!$D$5:$D$304,"&gt;="&amp;Q$5,'Leave Log'!$F$5:$F$304,"&lt;&gt;Rejected",'Leave Log'!$B$5:$B$304,"OT")&gt;0,"OT",""))))))</f>
        <v/>
      </c>
      <c r="R8" s="12" t="str">
        <f aca="false">IF(OR(R$5="",$A8=""),"",IF(COUNTIFS('Leave Log'!$A$5:$A$304,$A8,'Leave Log'!$C$5:$C$304,"&lt;="&amp;R$5,'Leave Log'!$D$5:$D$304,"&gt;="&amp;R$5,'Leave Log'!$F$5:$F$304,"&lt;&gt;Rejected",'Leave Log'!$B$5:$B$304,"AL")&gt;0,"AL",IF(COUNTIFS('Leave Log'!$A$5:$A$304,$A8,'Leave Log'!$C$5:$C$304,"&lt;="&amp;R$5,'Leave Log'!$D$5:$D$304,"&gt;="&amp;R$5,'Leave Log'!$F$5:$F$304,"&lt;&gt;Rejected",'Leave Log'!$B$5:$B$304,"SL")&gt;0,"SL",IF(COUNTIFS('Leave Log'!$A$5:$A$304,$A8,'Leave Log'!$C$5:$C$304,"&lt;="&amp;R$5,'Leave Log'!$D$5:$D$304,"&gt;="&amp;R$5,'Leave Log'!$F$5:$F$304,"&lt;&gt;Rejected",'Leave Log'!$B$5:$B$304,"CL")&gt;0,"CL",IF(COUNTIFS('Leave Log'!$A$5:$A$304,$A8,'Leave Log'!$C$5:$C$304,"&lt;="&amp;R$5,'Leave Log'!$D$5:$D$304,"&gt;="&amp;R$5,'Leave Log'!$F$5:$F$304,"&lt;&gt;Rejected",'Leave Log'!$B$5:$B$304,"UL")&gt;0,"UL",IF(COUNTIFS('Leave Log'!$A$5:$A$304,$A8,'Leave Log'!$C$5:$C$304,"&lt;="&amp;R$5,'Leave Log'!$D$5:$D$304,"&gt;="&amp;R$5,'Leave Log'!$F$5:$F$304,"&lt;&gt;Rejected",'Leave Log'!$B$5:$B$304,"OT")&gt;0,"OT",""))))))</f>
        <v/>
      </c>
      <c r="S8" s="12" t="str">
        <f aca="false">IF(OR(S$5="",$A8=""),"",IF(COUNTIFS('Leave Log'!$A$5:$A$304,$A8,'Leave Log'!$C$5:$C$304,"&lt;="&amp;S$5,'Leave Log'!$D$5:$D$304,"&gt;="&amp;S$5,'Leave Log'!$F$5:$F$304,"&lt;&gt;Rejected",'Leave Log'!$B$5:$B$304,"AL")&gt;0,"AL",IF(COUNTIFS('Leave Log'!$A$5:$A$304,$A8,'Leave Log'!$C$5:$C$304,"&lt;="&amp;S$5,'Leave Log'!$D$5:$D$304,"&gt;="&amp;S$5,'Leave Log'!$F$5:$F$304,"&lt;&gt;Rejected",'Leave Log'!$B$5:$B$304,"SL")&gt;0,"SL",IF(COUNTIFS('Leave Log'!$A$5:$A$304,$A8,'Leave Log'!$C$5:$C$304,"&lt;="&amp;S$5,'Leave Log'!$D$5:$D$304,"&gt;="&amp;S$5,'Leave Log'!$F$5:$F$304,"&lt;&gt;Rejected",'Leave Log'!$B$5:$B$304,"CL")&gt;0,"CL",IF(COUNTIFS('Leave Log'!$A$5:$A$304,$A8,'Leave Log'!$C$5:$C$304,"&lt;="&amp;S$5,'Leave Log'!$D$5:$D$304,"&gt;="&amp;S$5,'Leave Log'!$F$5:$F$304,"&lt;&gt;Rejected",'Leave Log'!$B$5:$B$304,"UL")&gt;0,"UL",IF(COUNTIFS('Leave Log'!$A$5:$A$304,$A8,'Leave Log'!$C$5:$C$304,"&lt;="&amp;S$5,'Leave Log'!$D$5:$D$304,"&gt;="&amp;S$5,'Leave Log'!$F$5:$F$304,"&lt;&gt;Rejected",'Leave Log'!$B$5:$B$304,"OT")&gt;0,"OT",""))))))</f>
        <v/>
      </c>
      <c r="T8" s="12" t="str">
        <f aca="false">IF(OR(T$5="",$A8=""),"",IF(COUNTIFS('Leave Log'!$A$5:$A$304,$A8,'Leave Log'!$C$5:$C$304,"&lt;="&amp;T$5,'Leave Log'!$D$5:$D$304,"&gt;="&amp;T$5,'Leave Log'!$F$5:$F$304,"&lt;&gt;Rejected",'Leave Log'!$B$5:$B$304,"AL")&gt;0,"AL",IF(COUNTIFS('Leave Log'!$A$5:$A$304,$A8,'Leave Log'!$C$5:$C$304,"&lt;="&amp;T$5,'Leave Log'!$D$5:$D$304,"&gt;="&amp;T$5,'Leave Log'!$F$5:$F$304,"&lt;&gt;Rejected",'Leave Log'!$B$5:$B$304,"SL")&gt;0,"SL",IF(COUNTIFS('Leave Log'!$A$5:$A$304,$A8,'Leave Log'!$C$5:$C$304,"&lt;="&amp;T$5,'Leave Log'!$D$5:$D$304,"&gt;="&amp;T$5,'Leave Log'!$F$5:$F$304,"&lt;&gt;Rejected",'Leave Log'!$B$5:$B$304,"CL")&gt;0,"CL",IF(COUNTIFS('Leave Log'!$A$5:$A$304,$A8,'Leave Log'!$C$5:$C$304,"&lt;="&amp;T$5,'Leave Log'!$D$5:$D$304,"&gt;="&amp;T$5,'Leave Log'!$F$5:$F$304,"&lt;&gt;Rejected",'Leave Log'!$B$5:$B$304,"UL")&gt;0,"UL",IF(COUNTIFS('Leave Log'!$A$5:$A$304,$A8,'Leave Log'!$C$5:$C$304,"&lt;="&amp;T$5,'Leave Log'!$D$5:$D$304,"&gt;="&amp;T$5,'Leave Log'!$F$5:$F$304,"&lt;&gt;Rejected",'Leave Log'!$B$5:$B$304,"OT")&gt;0,"OT",""))))))</f>
        <v/>
      </c>
      <c r="U8" s="12" t="str">
        <f aca="false">IF(OR(U$5="",$A8=""),"",IF(COUNTIFS('Leave Log'!$A$5:$A$304,$A8,'Leave Log'!$C$5:$C$304,"&lt;="&amp;U$5,'Leave Log'!$D$5:$D$304,"&gt;="&amp;U$5,'Leave Log'!$F$5:$F$304,"&lt;&gt;Rejected",'Leave Log'!$B$5:$B$304,"AL")&gt;0,"AL",IF(COUNTIFS('Leave Log'!$A$5:$A$304,$A8,'Leave Log'!$C$5:$C$304,"&lt;="&amp;U$5,'Leave Log'!$D$5:$D$304,"&gt;="&amp;U$5,'Leave Log'!$F$5:$F$304,"&lt;&gt;Rejected",'Leave Log'!$B$5:$B$304,"SL")&gt;0,"SL",IF(COUNTIFS('Leave Log'!$A$5:$A$304,$A8,'Leave Log'!$C$5:$C$304,"&lt;="&amp;U$5,'Leave Log'!$D$5:$D$304,"&gt;="&amp;U$5,'Leave Log'!$F$5:$F$304,"&lt;&gt;Rejected",'Leave Log'!$B$5:$B$304,"CL")&gt;0,"CL",IF(COUNTIFS('Leave Log'!$A$5:$A$304,$A8,'Leave Log'!$C$5:$C$304,"&lt;="&amp;U$5,'Leave Log'!$D$5:$D$304,"&gt;="&amp;U$5,'Leave Log'!$F$5:$F$304,"&lt;&gt;Rejected",'Leave Log'!$B$5:$B$304,"UL")&gt;0,"UL",IF(COUNTIFS('Leave Log'!$A$5:$A$304,$A8,'Leave Log'!$C$5:$C$304,"&lt;="&amp;U$5,'Leave Log'!$D$5:$D$304,"&gt;="&amp;U$5,'Leave Log'!$F$5:$F$304,"&lt;&gt;Rejected",'Leave Log'!$B$5:$B$304,"OT")&gt;0,"OT",""))))))</f>
        <v/>
      </c>
      <c r="V8" s="12" t="str">
        <f aca="false">IF(OR(V$5="",$A8=""),"",IF(COUNTIFS('Leave Log'!$A$5:$A$304,$A8,'Leave Log'!$C$5:$C$304,"&lt;="&amp;V$5,'Leave Log'!$D$5:$D$304,"&gt;="&amp;V$5,'Leave Log'!$F$5:$F$304,"&lt;&gt;Rejected",'Leave Log'!$B$5:$B$304,"AL")&gt;0,"AL",IF(COUNTIFS('Leave Log'!$A$5:$A$304,$A8,'Leave Log'!$C$5:$C$304,"&lt;="&amp;V$5,'Leave Log'!$D$5:$D$304,"&gt;="&amp;V$5,'Leave Log'!$F$5:$F$304,"&lt;&gt;Rejected",'Leave Log'!$B$5:$B$304,"SL")&gt;0,"SL",IF(COUNTIFS('Leave Log'!$A$5:$A$304,$A8,'Leave Log'!$C$5:$C$304,"&lt;="&amp;V$5,'Leave Log'!$D$5:$D$304,"&gt;="&amp;V$5,'Leave Log'!$F$5:$F$304,"&lt;&gt;Rejected",'Leave Log'!$B$5:$B$304,"CL")&gt;0,"CL",IF(COUNTIFS('Leave Log'!$A$5:$A$304,$A8,'Leave Log'!$C$5:$C$304,"&lt;="&amp;V$5,'Leave Log'!$D$5:$D$304,"&gt;="&amp;V$5,'Leave Log'!$F$5:$F$304,"&lt;&gt;Rejected",'Leave Log'!$B$5:$B$304,"UL")&gt;0,"UL",IF(COUNTIFS('Leave Log'!$A$5:$A$304,$A8,'Leave Log'!$C$5:$C$304,"&lt;="&amp;V$5,'Leave Log'!$D$5:$D$304,"&gt;="&amp;V$5,'Leave Log'!$F$5:$F$304,"&lt;&gt;Rejected",'Leave Log'!$B$5:$B$304,"OT")&gt;0,"OT",""))))))</f>
        <v/>
      </c>
      <c r="W8" s="12" t="str">
        <f aca="false">IF(OR(W$5="",$A8=""),"",IF(COUNTIFS('Leave Log'!$A$5:$A$304,$A8,'Leave Log'!$C$5:$C$304,"&lt;="&amp;W$5,'Leave Log'!$D$5:$D$304,"&gt;="&amp;W$5,'Leave Log'!$F$5:$F$304,"&lt;&gt;Rejected",'Leave Log'!$B$5:$B$304,"AL")&gt;0,"AL",IF(COUNTIFS('Leave Log'!$A$5:$A$304,$A8,'Leave Log'!$C$5:$C$304,"&lt;="&amp;W$5,'Leave Log'!$D$5:$D$304,"&gt;="&amp;W$5,'Leave Log'!$F$5:$F$304,"&lt;&gt;Rejected",'Leave Log'!$B$5:$B$304,"SL")&gt;0,"SL",IF(COUNTIFS('Leave Log'!$A$5:$A$304,$A8,'Leave Log'!$C$5:$C$304,"&lt;="&amp;W$5,'Leave Log'!$D$5:$D$304,"&gt;="&amp;W$5,'Leave Log'!$F$5:$F$304,"&lt;&gt;Rejected",'Leave Log'!$B$5:$B$304,"CL")&gt;0,"CL",IF(COUNTIFS('Leave Log'!$A$5:$A$304,$A8,'Leave Log'!$C$5:$C$304,"&lt;="&amp;W$5,'Leave Log'!$D$5:$D$304,"&gt;="&amp;W$5,'Leave Log'!$F$5:$F$304,"&lt;&gt;Rejected",'Leave Log'!$B$5:$B$304,"UL")&gt;0,"UL",IF(COUNTIFS('Leave Log'!$A$5:$A$304,$A8,'Leave Log'!$C$5:$C$304,"&lt;="&amp;W$5,'Leave Log'!$D$5:$D$304,"&gt;="&amp;W$5,'Leave Log'!$F$5:$F$304,"&lt;&gt;Rejected",'Leave Log'!$B$5:$B$304,"OT")&gt;0,"OT",""))))))</f>
        <v/>
      </c>
      <c r="X8" s="12" t="str">
        <f aca="false">IF(OR(X$5="",$A8=""),"",IF(COUNTIFS('Leave Log'!$A$5:$A$304,$A8,'Leave Log'!$C$5:$C$304,"&lt;="&amp;X$5,'Leave Log'!$D$5:$D$304,"&gt;="&amp;X$5,'Leave Log'!$F$5:$F$304,"&lt;&gt;Rejected",'Leave Log'!$B$5:$B$304,"AL")&gt;0,"AL",IF(COUNTIFS('Leave Log'!$A$5:$A$304,$A8,'Leave Log'!$C$5:$C$304,"&lt;="&amp;X$5,'Leave Log'!$D$5:$D$304,"&gt;="&amp;X$5,'Leave Log'!$F$5:$F$304,"&lt;&gt;Rejected",'Leave Log'!$B$5:$B$304,"SL")&gt;0,"SL",IF(COUNTIFS('Leave Log'!$A$5:$A$304,$A8,'Leave Log'!$C$5:$C$304,"&lt;="&amp;X$5,'Leave Log'!$D$5:$D$304,"&gt;="&amp;X$5,'Leave Log'!$F$5:$F$304,"&lt;&gt;Rejected",'Leave Log'!$B$5:$B$304,"CL")&gt;0,"CL",IF(COUNTIFS('Leave Log'!$A$5:$A$304,$A8,'Leave Log'!$C$5:$C$304,"&lt;="&amp;X$5,'Leave Log'!$D$5:$D$304,"&gt;="&amp;X$5,'Leave Log'!$F$5:$F$304,"&lt;&gt;Rejected",'Leave Log'!$B$5:$B$304,"UL")&gt;0,"UL",IF(COUNTIFS('Leave Log'!$A$5:$A$304,$A8,'Leave Log'!$C$5:$C$304,"&lt;="&amp;X$5,'Leave Log'!$D$5:$D$304,"&gt;="&amp;X$5,'Leave Log'!$F$5:$F$304,"&lt;&gt;Rejected",'Leave Log'!$B$5:$B$304,"OT")&gt;0,"OT",""))))))</f>
        <v/>
      </c>
      <c r="Y8" s="12" t="str">
        <f aca="false">IF(OR(Y$5="",$A8=""),"",IF(COUNTIFS('Leave Log'!$A$5:$A$304,$A8,'Leave Log'!$C$5:$C$304,"&lt;="&amp;Y$5,'Leave Log'!$D$5:$D$304,"&gt;="&amp;Y$5,'Leave Log'!$F$5:$F$304,"&lt;&gt;Rejected",'Leave Log'!$B$5:$B$304,"AL")&gt;0,"AL",IF(COUNTIFS('Leave Log'!$A$5:$A$304,$A8,'Leave Log'!$C$5:$C$304,"&lt;="&amp;Y$5,'Leave Log'!$D$5:$D$304,"&gt;="&amp;Y$5,'Leave Log'!$F$5:$F$304,"&lt;&gt;Rejected",'Leave Log'!$B$5:$B$304,"SL")&gt;0,"SL",IF(COUNTIFS('Leave Log'!$A$5:$A$304,$A8,'Leave Log'!$C$5:$C$304,"&lt;="&amp;Y$5,'Leave Log'!$D$5:$D$304,"&gt;="&amp;Y$5,'Leave Log'!$F$5:$F$304,"&lt;&gt;Rejected",'Leave Log'!$B$5:$B$304,"CL")&gt;0,"CL",IF(COUNTIFS('Leave Log'!$A$5:$A$304,$A8,'Leave Log'!$C$5:$C$304,"&lt;="&amp;Y$5,'Leave Log'!$D$5:$D$304,"&gt;="&amp;Y$5,'Leave Log'!$F$5:$F$304,"&lt;&gt;Rejected",'Leave Log'!$B$5:$B$304,"UL")&gt;0,"UL",IF(COUNTIFS('Leave Log'!$A$5:$A$304,$A8,'Leave Log'!$C$5:$C$304,"&lt;="&amp;Y$5,'Leave Log'!$D$5:$D$304,"&gt;="&amp;Y$5,'Leave Log'!$F$5:$F$304,"&lt;&gt;Rejected",'Leave Log'!$B$5:$B$304,"OT")&gt;0,"OT",""))))))</f>
        <v/>
      </c>
      <c r="Z8" s="12" t="str">
        <f aca="false">IF(OR(Z$5="",$A8=""),"",IF(COUNTIFS('Leave Log'!$A$5:$A$304,$A8,'Leave Log'!$C$5:$C$304,"&lt;="&amp;Z$5,'Leave Log'!$D$5:$D$304,"&gt;="&amp;Z$5,'Leave Log'!$F$5:$F$304,"&lt;&gt;Rejected",'Leave Log'!$B$5:$B$304,"AL")&gt;0,"AL",IF(COUNTIFS('Leave Log'!$A$5:$A$304,$A8,'Leave Log'!$C$5:$C$304,"&lt;="&amp;Z$5,'Leave Log'!$D$5:$D$304,"&gt;="&amp;Z$5,'Leave Log'!$F$5:$F$304,"&lt;&gt;Rejected",'Leave Log'!$B$5:$B$304,"SL")&gt;0,"SL",IF(COUNTIFS('Leave Log'!$A$5:$A$304,$A8,'Leave Log'!$C$5:$C$304,"&lt;="&amp;Z$5,'Leave Log'!$D$5:$D$304,"&gt;="&amp;Z$5,'Leave Log'!$F$5:$F$304,"&lt;&gt;Rejected",'Leave Log'!$B$5:$B$304,"CL")&gt;0,"CL",IF(COUNTIFS('Leave Log'!$A$5:$A$304,$A8,'Leave Log'!$C$5:$C$304,"&lt;="&amp;Z$5,'Leave Log'!$D$5:$D$304,"&gt;="&amp;Z$5,'Leave Log'!$F$5:$F$304,"&lt;&gt;Rejected",'Leave Log'!$B$5:$B$304,"UL")&gt;0,"UL",IF(COUNTIFS('Leave Log'!$A$5:$A$304,$A8,'Leave Log'!$C$5:$C$304,"&lt;="&amp;Z$5,'Leave Log'!$D$5:$D$304,"&gt;="&amp;Z$5,'Leave Log'!$F$5:$F$304,"&lt;&gt;Rejected",'Leave Log'!$B$5:$B$304,"OT")&gt;0,"OT",""))))))</f>
        <v/>
      </c>
      <c r="AA8" s="12" t="str">
        <f aca="false">IF(OR(AA$5="",$A8=""),"",IF(COUNTIFS('Leave Log'!$A$5:$A$304,$A8,'Leave Log'!$C$5:$C$304,"&lt;="&amp;AA$5,'Leave Log'!$D$5:$D$304,"&gt;="&amp;AA$5,'Leave Log'!$F$5:$F$304,"&lt;&gt;Rejected",'Leave Log'!$B$5:$B$304,"AL")&gt;0,"AL",IF(COUNTIFS('Leave Log'!$A$5:$A$304,$A8,'Leave Log'!$C$5:$C$304,"&lt;="&amp;AA$5,'Leave Log'!$D$5:$D$304,"&gt;="&amp;AA$5,'Leave Log'!$F$5:$F$304,"&lt;&gt;Rejected",'Leave Log'!$B$5:$B$304,"SL")&gt;0,"SL",IF(COUNTIFS('Leave Log'!$A$5:$A$304,$A8,'Leave Log'!$C$5:$C$304,"&lt;="&amp;AA$5,'Leave Log'!$D$5:$D$304,"&gt;="&amp;AA$5,'Leave Log'!$F$5:$F$304,"&lt;&gt;Rejected",'Leave Log'!$B$5:$B$304,"CL")&gt;0,"CL",IF(COUNTIFS('Leave Log'!$A$5:$A$304,$A8,'Leave Log'!$C$5:$C$304,"&lt;="&amp;AA$5,'Leave Log'!$D$5:$D$304,"&gt;="&amp;AA$5,'Leave Log'!$F$5:$F$304,"&lt;&gt;Rejected",'Leave Log'!$B$5:$B$304,"UL")&gt;0,"UL",IF(COUNTIFS('Leave Log'!$A$5:$A$304,$A8,'Leave Log'!$C$5:$C$304,"&lt;="&amp;AA$5,'Leave Log'!$D$5:$D$304,"&gt;="&amp;AA$5,'Leave Log'!$F$5:$F$304,"&lt;&gt;Rejected",'Leave Log'!$B$5:$B$304,"OT")&gt;0,"OT",""))))))</f>
        <v/>
      </c>
      <c r="AB8" s="12" t="str">
        <f aca="false">IF(OR(AB$5="",$A8=""),"",IF(COUNTIFS('Leave Log'!$A$5:$A$304,$A8,'Leave Log'!$C$5:$C$304,"&lt;="&amp;AB$5,'Leave Log'!$D$5:$D$304,"&gt;="&amp;AB$5,'Leave Log'!$F$5:$F$304,"&lt;&gt;Rejected",'Leave Log'!$B$5:$B$304,"AL")&gt;0,"AL",IF(COUNTIFS('Leave Log'!$A$5:$A$304,$A8,'Leave Log'!$C$5:$C$304,"&lt;="&amp;AB$5,'Leave Log'!$D$5:$D$304,"&gt;="&amp;AB$5,'Leave Log'!$F$5:$F$304,"&lt;&gt;Rejected",'Leave Log'!$B$5:$B$304,"SL")&gt;0,"SL",IF(COUNTIFS('Leave Log'!$A$5:$A$304,$A8,'Leave Log'!$C$5:$C$304,"&lt;="&amp;AB$5,'Leave Log'!$D$5:$D$304,"&gt;="&amp;AB$5,'Leave Log'!$F$5:$F$304,"&lt;&gt;Rejected",'Leave Log'!$B$5:$B$304,"CL")&gt;0,"CL",IF(COUNTIFS('Leave Log'!$A$5:$A$304,$A8,'Leave Log'!$C$5:$C$304,"&lt;="&amp;AB$5,'Leave Log'!$D$5:$D$304,"&gt;="&amp;AB$5,'Leave Log'!$F$5:$F$304,"&lt;&gt;Rejected",'Leave Log'!$B$5:$B$304,"UL")&gt;0,"UL",IF(COUNTIFS('Leave Log'!$A$5:$A$304,$A8,'Leave Log'!$C$5:$C$304,"&lt;="&amp;AB$5,'Leave Log'!$D$5:$D$304,"&gt;="&amp;AB$5,'Leave Log'!$F$5:$F$304,"&lt;&gt;Rejected",'Leave Log'!$B$5:$B$304,"OT")&gt;0,"OT",""))))))</f>
        <v/>
      </c>
      <c r="AC8" s="12" t="str">
        <f aca="false">IF(OR(AC$5="",$A8=""),"",IF(COUNTIFS('Leave Log'!$A$5:$A$304,$A8,'Leave Log'!$C$5:$C$304,"&lt;="&amp;AC$5,'Leave Log'!$D$5:$D$304,"&gt;="&amp;AC$5,'Leave Log'!$F$5:$F$304,"&lt;&gt;Rejected",'Leave Log'!$B$5:$B$304,"AL")&gt;0,"AL",IF(COUNTIFS('Leave Log'!$A$5:$A$304,$A8,'Leave Log'!$C$5:$C$304,"&lt;="&amp;AC$5,'Leave Log'!$D$5:$D$304,"&gt;="&amp;AC$5,'Leave Log'!$F$5:$F$304,"&lt;&gt;Rejected",'Leave Log'!$B$5:$B$304,"SL")&gt;0,"SL",IF(COUNTIFS('Leave Log'!$A$5:$A$304,$A8,'Leave Log'!$C$5:$C$304,"&lt;="&amp;AC$5,'Leave Log'!$D$5:$D$304,"&gt;="&amp;AC$5,'Leave Log'!$F$5:$F$304,"&lt;&gt;Rejected",'Leave Log'!$B$5:$B$304,"CL")&gt;0,"CL",IF(COUNTIFS('Leave Log'!$A$5:$A$304,$A8,'Leave Log'!$C$5:$C$304,"&lt;="&amp;AC$5,'Leave Log'!$D$5:$D$304,"&gt;="&amp;AC$5,'Leave Log'!$F$5:$F$304,"&lt;&gt;Rejected",'Leave Log'!$B$5:$B$304,"UL")&gt;0,"UL",IF(COUNTIFS('Leave Log'!$A$5:$A$304,$A8,'Leave Log'!$C$5:$C$304,"&lt;="&amp;AC$5,'Leave Log'!$D$5:$D$304,"&gt;="&amp;AC$5,'Leave Log'!$F$5:$F$304,"&lt;&gt;Rejected",'Leave Log'!$B$5:$B$304,"OT")&gt;0,"OT",""))))))</f>
        <v/>
      </c>
      <c r="AD8" s="12" t="str">
        <f aca="false">IF(OR(AD$5="",$A8=""),"",IF(COUNTIFS('Leave Log'!$A$5:$A$304,$A8,'Leave Log'!$C$5:$C$304,"&lt;="&amp;AD$5,'Leave Log'!$D$5:$D$304,"&gt;="&amp;AD$5,'Leave Log'!$F$5:$F$304,"&lt;&gt;Rejected",'Leave Log'!$B$5:$B$304,"AL")&gt;0,"AL",IF(COUNTIFS('Leave Log'!$A$5:$A$304,$A8,'Leave Log'!$C$5:$C$304,"&lt;="&amp;AD$5,'Leave Log'!$D$5:$D$304,"&gt;="&amp;AD$5,'Leave Log'!$F$5:$F$304,"&lt;&gt;Rejected",'Leave Log'!$B$5:$B$304,"SL")&gt;0,"SL",IF(COUNTIFS('Leave Log'!$A$5:$A$304,$A8,'Leave Log'!$C$5:$C$304,"&lt;="&amp;AD$5,'Leave Log'!$D$5:$D$304,"&gt;="&amp;AD$5,'Leave Log'!$F$5:$F$304,"&lt;&gt;Rejected",'Leave Log'!$B$5:$B$304,"CL")&gt;0,"CL",IF(COUNTIFS('Leave Log'!$A$5:$A$304,$A8,'Leave Log'!$C$5:$C$304,"&lt;="&amp;AD$5,'Leave Log'!$D$5:$D$304,"&gt;="&amp;AD$5,'Leave Log'!$F$5:$F$304,"&lt;&gt;Rejected",'Leave Log'!$B$5:$B$304,"UL")&gt;0,"UL",IF(COUNTIFS('Leave Log'!$A$5:$A$304,$A8,'Leave Log'!$C$5:$C$304,"&lt;="&amp;AD$5,'Leave Log'!$D$5:$D$304,"&gt;="&amp;AD$5,'Leave Log'!$F$5:$F$304,"&lt;&gt;Rejected",'Leave Log'!$B$5:$B$304,"OT")&gt;0,"OT",""))))))</f>
        <v>AL</v>
      </c>
      <c r="AE8" s="12" t="str">
        <f aca="false">IF(OR(AE$5="",$A8=""),"",IF(COUNTIFS('Leave Log'!$A$5:$A$304,$A8,'Leave Log'!$C$5:$C$304,"&lt;="&amp;AE$5,'Leave Log'!$D$5:$D$304,"&gt;="&amp;AE$5,'Leave Log'!$F$5:$F$304,"&lt;&gt;Rejected",'Leave Log'!$B$5:$B$304,"AL")&gt;0,"AL",IF(COUNTIFS('Leave Log'!$A$5:$A$304,$A8,'Leave Log'!$C$5:$C$304,"&lt;="&amp;AE$5,'Leave Log'!$D$5:$D$304,"&gt;="&amp;AE$5,'Leave Log'!$F$5:$F$304,"&lt;&gt;Rejected",'Leave Log'!$B$5:$B$304,"SL")&gt;0,"SL",IF(COUNTIFS('Leave Log'!$A$5:$A$304,$A8,'Leave Log'!$C$5:$C$304,"&lt;="&amp;AE$5,'Leave Log'!$D$5:$D$304,"&gt;="&amp;AE$5,'Leave Log'!$F$5:$F$304,"&lt;&gt;Rejected",'Leave Log'!$B$5:$B$304,"CL")&gt;0,"CL",IF(COUNTIFS('Leave Log'!$A$5:$A$304,$A8,'Leave Log'!$C$5:$C$304,"&lt;="&amp;AE$5,'Leave Log'!$D$5:$D$304,"&gt;="&amp;AE$5,'Leave Log'!$F$5:$F$304,"&lt;&gt;Rejected",'Leave Log'!$B$5:$B$304,"UL")&gt;0,"UL",IF(COUNTIFS('Leave Log'!$A$5:$A$304,$A8,'Leave Log'!$C$5:$C$304,"&lt;="&amp;AE$5,'Leave Log'!$D$5:$D$304,"&gt;="&amp;AE$5,'Leave Log'!$F$5:$F$304,"&lt;&gt;Rejected",'Leave Log'!$B$5:$B$304,"OT")&gt;0,"OT",""))))))</f>
        <v>AL</v>
      </c>
      <c r="AF8" s="12" t="str">
        <f aca="false">IF(OR(AF$5="",$A8=""),"",IF(COUNTIFS('Leave Log'!$A$5:$A$304,$A8,'Leave Log'!$C$5:$C$304,"&lt;="&amp;AF$5,'Leave Log'!$D$5:$D$304,"&gt;="&amp;AF$5,'Leave Log'!$F$5:$F$304,"&lt;&gt;Rejected",'Leave Log'!$B$5:$B$304,"AL")&gt;0,"AL",IF(COUNTIFS('Leave Log'!$A$5:$A$304,$A8,'Leave Log'!$C$5:$C$304,"&lt;="&amp;AF$5,'Leave Log'!$D$5:$D$304,"&gt;="&amp;AF$5,'Leave Log'!$F$5:$F$304,"&lt;&gt;Rejected",'Leave Log'!$B$5:$B$304,"SL")&gt;0,"SL",IF(COUNTIFS('Leave Log'!$A$5:$A$304,$A8,'Leave Log'!$C$5:$C$304,"&lt;="&amp;AF$5,'Leave Log'!$D$5:$D$304,"&gt;="&amp;AF$5,'Leave Log'!$F$5:$F$304,"&lt;&gt;Rejected",'Leave Log'!$B$5:$B$304,"CL")&gt;0,"CL",IF(COUNTIFS('Leave Log'!$A$5:$A$304,$A8,'Leave Log'!$C$5:$C$304,"&lt;="&amp;AF$5,'Leave Log'!$D$5:$D$304,"&gt;="&amp;AF$5,'Leave Log'!$F$5:$F$304,"&lt;&gt;Rejected",'Leave Log'!$B$5:$B$304,"UL")&gt;0,"UL",IF(COUNTIFS('Leave Log'!$A$5:$A$304,$A8,'Leave Log'!$C$5:$C$304,"&lt;="&amp;AF$5,'Leave Log'!$D$5:$D$304,"&gt;="&amp;AF$5,'Leave Log'!$F$5:$F$304,"&lt;&gt;Rejected",'Leave Log'!$B$5:$B$304,"OT")&gt;0,"OT",""))))))</f>
        <v>AL</v>
      </c>
      <c r="AG8" s="12" t="str">
        <f aca="false">IF(OR(AG$5="",$A8=""),"",IF(COUNTIFS('Leave Log'!$A$5:$A$304,$A8,'Leave Log'!$C$5:$C$304,"&lt;="&amp;AG$5,'Leave Log'!$D$5:$D$304,"&gt;="&amp;AG$5,'Leave Log'!$F$5:$F$304,"&lt;&gt;Rejected",'Leave Log'!$B$5:$B$304,"AL")&gt;0,"AL",IF(COUNTIFS('Leave Log'!$A$5:$A$304,$A8,'Leave Log'!$C$5:$C$304,"&lt;="&amp;AG$5,'Leave Log'!$D$5:$D$304,"&gt;="&amp;AG$5,'Leave Log'!$F$5:$F$304,"&lt;&gt;Rejected",'Leave Log'!$B$5:$B$304,"SL")&gt;0,"SL",IF(COUNTIFS('Leave Log'!$A$5:$A$304,$A8,'Leave Log'!$C$5:$C$304,"&lt;="&amp;AG$5,'Leave Log'!$D$5:$D$304,"&gt;="&amp;AG$5,'Leave Log'!$F$5:$F$304,"&lt;&gt;Rejected",'Leave Log'!$B$5:$B$304,"CL")&gt;0,"CL",IF(COUNTIFS('Leave Log'!$A$5:$A$304,$A8,'Leave Log'!$C$5:$C$304,"&lt;="&amp;AG$5,'Leave Log'!$D$5:$D$304,"&gt;="&amp;AG$5,'Leave Log'!$F$5:$F$304,"&lt;&gt;Rejected",'Leave Log'!$B$5:$B$304,"UL")&gt;0,"UL",IF(COUNTIFS('Leave Log'!$A$5:$A$304,$A8,'Leave Log'!$C$5:$C$304,"&lt;="&amp;AG$5,'Leave Log'!$D$5:$D$304,"&gt;="&amp;AG$5,'Leave Log'!$F$5:$F$304,"&lt;&gt;Rejected",'Leave Log'!$B$5:$B$304,"OT")&gt;0,"OT",""))))))</f>
        <v>AL</v>
      </c>
    </row>
    <row r="9" customFormat="false" ht="15" hidden="false" customHeight="false" outlineLevel="0" collapsed="false">
      <c r="A9" s="3" t="str">
        <f aca="false">IF(Employees!B8="","",Employees!B8)</f>
        <v>David Chen</v>
      </c>
      <c r="B9" s="11" t="str">
        <f aca="false">IF(Employees!B8="","",Employees!C8)</f>
        <v>Finance</v>
      </c>
      <c r="C9" s="12" t="str">
        <f aca="false">IF(OR(C$5="",$A9=""),"",IF(COUNTIFS('Leave Log'!$A$5:$A$304,$A9,'Leave Log'!$C$5:$C$304,"&lt;="&amp;C$5,'Leave Log'!$D$5:$D$304,"&gt;="&amp;C$5,'Leave Log'!$F$5:$F$304,"&lt;&gt;Rejected",'Leave Log'!$B$5:$B$304,"AL")&gt;0,"AL",IF(COUNTIFS('Leave Log'!$A$5:$A$304,$A9,'Leave Log'!$C$5:$C$304,"&lt;="&amp;C$5,'Leave Log'!$D$5:$D$304,"&gt;="&amp;C$5,'Leave Log'!$F$5:$F$304,"&lt;&gt;Rejected",'Leave Log'!$B$5:$B$304,"SL")&gt;0,"SL",IF(COUNTIFS('Leave Log'!$A$5:$A$304,$A9,'Leave Log'!$C$5:$C$304,"&lt;="&amp;C$5,'Leave Log'!$D$5:$D$304,"&gt;="&amp;C$5,'Leave Log'!$F$5:$F$304,"&lt;&gt;Rejected",'Leave Log'!$B$5:$B$304,"CL")&gt;0,"CL",IF(COUNTIFS('Leave Log'!$A$5:$A$304,$A9,'Leave Log'!$C$5:$C$304,"&lt;="&amp;C$5,'Leave Log'!$D$5:$D$304,"&gt;="&amp;C$5,'Leave Log'!$F$5:$F$304,"&lt;&gt;Rejected",'Leave Log'!$B$5:$B$304,"UL")&gt;0,"UL",IF(COUNTIFS('Leave Log'!$A$5:$A$304,$A9,'Leave Log'!$C$5:$C$304,"&lt;="&amp;C$5,'Leave Log'!$D$5:$D$304,"&gt;="&amp;C$5,'Leave Log'!$F$5:$F$304,"&lt;&gt;Rejected",'Leave Log'!$B$5:$B$304,"OT")&gt;0,"OT",""))))))</f>
        <v/>
      </c>
      <c r="D9" s="12" t="str">
        <f aca="false">IF(OR(D$5="",$A9=""),"",IF(COUNTIFS('Leave Log'!$A$5:$A$304,$A9,'Leave Log'!$C$5:$C$304,"&lt;="&amp;D$5,'Leave Log'!$D$5:$D$304,"&gt;="&amp;D$5,'Leave Log'!$F$5:$F$304,"&lt;&gt;Rejected",'Leave Log'!$B$5:$B$304,"AL")&gt;0,"AL",IF(COUNTIFS('Leave Log'!$A$5:$A$304,$A9,'Leave Log'!$C$5:$C$304,"&lt;="&amp;D$5,'Leave Log'!$D$5:$D$304,"&gt;="&amp;D$5,'Leave Log'!$F$5:$F$304,"&lt;&gt;Rejected",'Leave Log'!$B$5:$B$304,"SL")&gt;0,"SL",IF(COUNTIFS('Leave Log'!$A$5:$A$304,$A9,'Leave Log'!$C$5:$C$304,"&lt;="&amp;D$5,'Leave Log'!$D$5:$D$304,"&gt;="&amp;D$5,'Leave Log'!$F$5:$F$304,"&lt;&gt;Rejected",'Leave Log'!$B$5:$B$304,"CL")&gt;0,"CL",IF(COUNTIFS('Leave Log'!$A$5:$A$304,$A9,'Leave Log'!$C$5:$C$304,"&lt;="&amp;D$5,'Leave Log'!$D$5:$D$304,"&gt;="&amp;D$5,'Leave Log'!$F$5:$F$304,"&lt;&gt;Rejected",'Leave Log'!$B$5:$B$304,"UL")&gt;0,"UL",IF(COUNTIFS('Leave Log'!$A$5:$A$304,$A9,'Leave Log'!$C$5:$C$304,"&lt;="&amp;D$5,'Leave Log'!$D$5:$D$304,"&gt;="&amp;D$5,'Leave Log'!$F$5:$F$304,"&lt;&gt;Rejected",'Leave Log'!$B$5:$B$304,"OT")&gt;0,"OT",""))))))</f>
        <v/>
      </c>
      <c r="E9" s="12" t="str">
        <f aca="false">IF(OR(E$5="",$A9=""),"",IF(COUNTIFS('Leave Log'!$A$5:$A$304,$A9,'Leave Log'!$C$5:$C$304,"&lt;="&amp;E$5,'Leave Log'!$D$5:$D$304,"&gt;="&amp;E$5,'Leave Log'!$F$5:$F$304,"&lt;&gt;Rejected",'Leave Log'!$B$5:$B$304,"AL")&gt;0,"AL",IF(COUNTIFS('Leave Log'!$A$5:$A$304,$A9,'Leave Log'!$C$5:$C$304,"&lt;="&amp;E$5,'Leave Log'!$D$5:$D$304,"&gt;="&amp;E$5,'Leave Log'!$F$5:$F$304,"&lt;&gt;Rejected",'Leave Log'!$B$5:$B$304,"SL")&gt;0,"SL",IF(COUNTIFS('Leave Log'!$A$5:$A$304,$A9,'Leave Log'!$C$5:$C$304,"&lt;="&amp;E$5,'Leave Log'!$D$5:$D$304,"&gt;="&amp;E$5,'Leave Log'!$F$5:$F$304,"&lt;&gt;Rejected",'Leave Log'!$B$5:$B$304,"CL")&gt;0,"CL",IF(COUNTIFS('Leave Log'!$A$5:$A$304,$A9,'Leave Log'!$C$5:$C$304,"&lt;="&amp;E$5,'Leave Log'!$D$5:$D$304,"&gt;="&amp;E$5,'Leave Log'!$F$5:$F$304,"&lt;&gt;Rejected",'Leave Log'!$B$5:$B$304,"UL")&gt;0,"UL",IF(COUNTIFS('Leave Log'!$A$5:$A$304,$A9,'Leave Log'!$C$5:$C$304,"&lt;="&amp;E$5,'Leave Log'!$D$5:$D$304,"&gt;="&amp;E$5,'Leave Log'!$F$5:$F$304,"&lt;&gt;Rejected",'Leave Log'!$B$5:$B$304,"OT")&gt;0,"OT",""))))))</f>
        <v/>
      </c>
      <c r="F9" s="12" t="str">
        <f aca="false">IF(OR(F$5="",$A9=""),"",IF(COUNTIFS('Leave Log'!$A$5:$A$304,$A9,'Leave Log'!$C$5:$C$304,"&lt;="&amp;F$5,'Leave Log'!$D$5:$D$304,"&gt;="&amp;F$5,'Leave Log'!$F$5:$F$304,"&lt;&gt;Rejected",'Leave Log'!$B$5:$B$304,"AL")&gt;0,"AL",IF(COUNTIFS('Leave Log'!$A$5:$A$304,$A9,'Leave Log'!$C$5:$C$304,"&lt;="&amp;F$5,'Leave Log'!$D$5:$D$304,"&gt;="&amp;F$5,'Leave Log'!$F$5:$F$304,"&lt;&gt;Rejected",'Leave Log'!$B$5:$B$304,"SL")&gt;0,"SL",IF(COUNTIFS('Leave Log'!$A$5:$A$304,$A9,'Leave Log'!$C$5:$C$304,"&lt;="&amp;F$5,'Leave Log'!$D$5:$D$304,"&gt;="&amp;F$5,'Leave Log'!$F$5:$F$304,"&lt;&gt;Rejected",'Leave Log'!$B$5:$B$304,"CL")&gt;0,"CL",IF(COUNTIFS('Leave Log'!$A$5:$A$304,$A9,'Leave Log'!$C$5:$C$304,"&lt;="&amp;F$5,'Leave Log'!$D$5:$D$304,"&gt;="&amp;F$5,'Leave Log'!$F$5:$F$304,"&lt;&gt;Rejected",'Leave Log'!$B$5:$B$304,"UL")&gt;0,"UL",IF(COUNTIFS('Leave Log'!$A$5:$A$304,$A9,'Leave Log'!$C$5:$C$304,"&lt;="&amp;F$5,'Leave Log'!$D$5:$D$304,"&gt;="&amp;F$5,'Leave Log'!$F$5:$F$304,"&lt;&gt;Rejected",'Leave Log'!$B$5:$B$304,"OT")&gt;0,"OT",""))))))</f>
        <v/>
      </c>
      <c r="G9" s="12" t="str">
        <f aca="false">IF(OR(G$5="",$A9=""),"",IF(COUNTIFS('Leave Log'!$A$5:$A$304,$A9,'Leave Log'!$C$5:$C$304,"&lt;="&amp;G$5,'Leave Log'!$D$5:$D$304,"&gt;="&amp;G$5,'Leave Log'!$F$5:$F$304,"&lt;&gt;Rejected",'Leave Log'!$B$5:$B$304,"AL")&gt;0,"AL",IF(COUNTIFS('Leave Log'!$A$5:$A$304,$A9,'Leave Log'!$C$5:$C$304,"&lt;="&amp;G$5,'Leave Log'!$D$5:$D$304,"&gt;="&amp;G$5,'Leave Log'!$F$5:$F$304,"&lt;&gt;Rejected",'Leave Log'!$B$5:$B$304,"SL")&gt;0,"SL",IF(COUNTIFS('Leave Log'!$A$5:$A$304,$A9,'Leave Log'!$C$5:$C$304,"&lt;="&amp;G$5,'Leave Log'!$D$5:$D$304,"&gt;="&amp;G$5,'Leave Log'!$F$5:$F$304,"&lt;&gt;Rejected",'Leave Log'!$B$5:$B$304,"CL")&gt;0,"CL",IF(COUNTIFS('Leave Log'!$A$5:$A$304,$A9,'Leave Log'!$C$5:$C$304,"&lt;="&amp;G$5,'Leave Log'!$D$5:$D$304,"&gt;="&amp;G$5,'Leave Log'!$F$5:$F$304,"&lt;&gt;Rejected",'Leave Log'!$B$5:$B$304,"UL")&gt;0,"UL",IF(COUNTIFS('Leave Log'!$A$5:$A$304,$A9,'Leave Log'!$C$5:$C$304,"&lt;="&amp;G$5,'Leave Log'!$D$5:$D$304,"&gt;="&amp;G$5,'Leave Log'!$F$5:$F$304,"&lt;&gt;Rejected",'Leave Log'!$B$5:$B$304,"OT")&gt;0,"OT",""))))))</f>
        <v/>
      </c>
      <c r="H9" s="12" t="str">
        <f aca="false">IF(OR(H$5="",$A9=""),"",IF(COUNTIFS('Leave Log'!$A$5:$A$304,$A9,'Leave Log'!$C$5:$C$304,"&lt;="&amp;H$5,'Leave Log'!$D$5:$D$304,"&gt;="&amp;H$5,'Leave Log'!$F$5:$F$304,"&lt;&gt;Rejected",'Leave Log'!$B$5:$B$304,"AL")&gt;0,"AL",IF(COUNTIFS('Leave Log'!$A$5:$A$304,$A9,'Leave Log'!$C$5:$C$304,"&lt;="&amp;H$5,'Leave Log'!$D$5:$D$304,"&gt;="&amp;H$5,'Leave Log'!$F$5:$F$304,"&lt;&gt;Rejected",'Leave Log'!$B$5:$B$304,"SL")&gt;0,"SL",IF(COUNTIFS('Leave Log'!$A$5:$A$304,$A9,'Leave Log'!$C$5:$C$304,"&lt;="&amp;H$5,'Leave Log'!$D$5:$D$304,"&gt;="&amp;H$5,'Leave Log'!$F$5:$F$304,"&lt;&gt;Rejected",'Leave Log'!$B$5:$B$304,"CL")&gt;0,"CL",IF(COUNTIFS('Leave Log'!$A$5:$A$304,$A9,'Leave Log'!$C$5:$C$304,"&lt;="&amp;H$5,'Leave Log'!$D$5:$D$304,"&gt;="&amp;H$5,'Leave Log'!$F$5:$F$304,"&lt;&gt;Rejected",'Leave Log'!$B$5:$B$304,"UL")&gt;0,"UL",IF(COUNTIFS('Leave Log'!$A$5:$A$304,$A9,'Leave Log'!$C$5:$C$304,"&lt;="&amp;H$5,'Leave Log'!$D$5:$D$304,"&gt;="&amp;H$5,'Leave Log'!$F$5:$F$304,"&lt;&gt;Rejected",'Leave Log'!$B$5:$B$304,"OT")&gt;0,"OT",""))))))</f>
        <v/>
      </c>
      <c r="I9" s="12" t="str">
        <f aca="false">IF(OR(I$5="",$A9=""),"",IF(COUNTIFS('Leave Log'!$A$5:$A$304,$A9,'Leave Log'!$C$5:$C$304,"&lt;="&amp;I$5,'Leave Log'!$D$5:$D$304,"&gt;="&amp;I$5,'Leave Log'!$F$5:$F$304,"&lt;&gt;Rejected",'Leave Log'!$B$5:$B$304,"AL")&gt;0,"AL",IF(COUNTIFS('Leave Log'!$A$5:$A$304,$A9,'Leave Log'!$C$5:$C$304,"&lt;="&amp;I$5,'Leave Log'!$D$5:$D$304,"&gt;="&amp;I$5,'Leave Log'!$F$5:$F$304,"&lt;&gt;Rejected",'Leave Log'!$B$5:$B$304,"SL")&gt;0,"SL",IF(COUNTIFS('Leave Log'!$A$5:$A$304,$A9,'Leave Log'!$C$5:$C$304,"&lt;="&amp;I$5,'Leave Log'!$D$5:$D$304,"&gt;="&amp;I$5,'Leave Log'!$F$5:$F$304,"&lt;&gt;Rejected",'Leave Log'!$B$5:$B$304,"CL")&gt;0,"CL",IF(COUNTIFS('Leave Log'!$A$5:$A$304,$A9,'Leave Log'!$C$5:$C$304,"&lt;="&amp;I$5,'Leave Log'!$D$5:$D$304,"&gt;="&amp;I$5,'Leave Log'!$F$5:$F$304,"&lt;&gt;Rejected",'Leave Log'!$B$5:$B$304,"UL")&gt;0,"UL",IF(COUNTIFS('Leave Log'!$A$5:$A$304,$A9,'Leave Log'!$C$5:$C$304,"&lt;="&amp;I$5,'Leave Log'!$D$5:$D$304,"&gt;="&amp;I$5,'Leave Log'!$F$5:$F$304,"&lt;&gt;Rejected",'Leave Log'!$B$5:$B$304,"OT")&gt;0,"OT",""))))))</f>
        <v/>
      </c>
      <c r="J9" s="12" t="str">
        <f aca="false">IF(OR(J$5="",$A9=""),"",IF(COUNTIFS('Leave Log'!$A$5:$A$304,$A9,'Leave Log'!$C$5:$C$304,"&lt;="&amp;J$5,'Leave Log'!$D$5:$D$304,"&gt;="&amp;J$5,'Leave Log'!$F$5:$F$304,"&lt;&gt;Rejected",'Leave Log'!$B$5:$B$304,"AL")&gt;0,"AL",IF(COUNTIFS('Leave Log'!$A$5:$A$304,$A9,'Leave Log'!$C$5:$C$304,"&lt;="&amp;J$5,'Leave Log'!$D$5:$D$304,"&gt;="&amp;J$5,'Leave Log'!$F$5:$F$304,"&lt;&gt;Rejected",'Leave Log'!$B$5:$B$304,"SL")&gt;0,"SL",IF(COUNTIFS('Leave Log'!$A$5:$A$304,$A9,'Leave Log'!$C$5:$C$304,"&lt;="&amp;J$5,'Leave Log'!$D$5:$D$304,"&gt;="&amp;J$5,'Leave Log'!$F$5:$F$304,"&lt;&gt;Rejected",'Leave Log'!$B$5:$B$304,"CL")&gt;0,"CL",IF(COUNTIFS('Leave Log'!$A$5:$A$304,$A9,'Leave Log'!$C$5:$C$304,"&lt;="&amp;J$5,'Leave Log'!$D$5:$D$304,"&gt;="&amp;J$5,'Leave Log'!$F$5:$F$304,"&lt;&gt;Rejected",'Leave Log'!$B$5:$B$304,"UL")&gt;0,"UL",IF(COUNTIFS('Leave Log'!$A$5:$A$304,$A9,'Leave Log'!$C$5:$C$304,"&lt;="&amp;J$5,'Leave Log'!$D$5:$D$304,"&gt;="&amp;J$5,'Leave Log'!$F$5:$F$304,"&lt;&gt;Rejected",'Leave Log'!$B$5:$B$304,"OT")&gt;0,"OT",""))))))</f>
        <v/>
      </c>
      <c r="K9" s="12" t="str">
        <f aca="false">IF(OR(K$5="",$A9=""),"",IF(COUNTIFS('Leave Log'!$A$5:$A$304,$A9,'Leave Log'!$C$5:$C$304,"&lt;="&amp;K$5,'Leave Log'!$D$5:$D$304,"&gt;="&amp;K$5,'Leave Log'!$F$5:$F$304,"&lt;&gt;Rejected",'Leave Log'!$B$5:$B$304,"AL")&gt;0,"AL",IF(COUNTIFS('Leave Log'!$A$5:$A$304,$A9,'Leave Log'!$C$5:$C$304,"&lt;="&amp;K$5,'Leave Log'!$D$5:$D$304,"&gt;="&amp;K$5,'Leave Log'!$F$5:$F$304,"&lt;&gt;Rejected",'Leave Log'!$B$5:$B$304,"SL")&gt;0,"SL",IF(COUNTIFS('Leave Log'!$A$5:$A$304,$A9,'Leave Log'!$C$5:$C$304,"&lt;="&amp;K$5,'Leave Log'!$D$5:$D$304,"&gt;="&amp;K$5,'Leave Log'!$F$5:$F$304,"&lt;&gt;Rejected",'Leave Log'!$B$5:$B$304,"CL")&gt;0,"CL",IF(COUNTIFS('Leave Log'!$A$5:$A$304,$A9,'Leave Log'!$C$5:$C$304,"&lt;="&amp;K$5,'Leave Log'!$D$5:$D$304,"&gt;="&amp;K$5,'Leave Log'!$F$5:$F$304,"&lt;&gt;Rejected",'Leave Log'!$B$5:$B$304,"UL")&gt;0,"UL",IF(COUNTIFS('Leave Log'!$A$5:$A$304,$A9,'Leave Log'!$C$5:$C$304,"&lt;="&amp;K$5,'Leave Log'!$D$5:$D$304,"&gt;="&amp;K$5,'Leave Log'!$F$5:$F$304,"&lt;&gt;Rejected",'Leave Log'!$B$5:$B$304,"OT")&gt;0,"OT",""))))))</f>
        <v/>
      </c>
      <c r="L9" s="12" t="str">
        <f aca="false">IF(OR(L$5="",$A9=""),"",IF(COUNTIFS('Leave Log'!$A$5:$A$304,$A9,'Leave Log'!$C$5:$C$304,"&lt;="&amp;L$5,'Leave Log'!$D$5:$D$304,"&gt;="&amp;L$5,'Leave Log'!$F$5:$F$304,"&lt;&gt;Rejected",'Leave Log'!$B$5:$B$304,"AL")&gt;0,"AL",IF(COUNTIFS('Leave Log'!$A$5:$A$304,$A9,'Leave Log'!$C$5:$C$304,"&lt;="&amp;L$5,'Leave Log'!$D$5:$D$304,"&gt;="&amp;L$5,'Leave Log'!$F$5:$F$304,"&lt;&gt;Rejected",'Leave Log'!$B$5:$B$304,"SL")&gt;0,"SL",IF(COUNTIFS('Leave Log'!$A$5:$A$304,$A9,'Leave Log'!$C$5:$C$304,"&lt;="&amp;L$5,'Leave Log'!$D$5:$D$304,"&gt;="&amp;L$5,'Leave Log'!$F$5:$F$304,"&lt;&gt;Rejected",'Leave Log'!$B$5:$B$304,"CL")&gt;0,"CL",IF(COUNTIFS('Leave Log'!$A$5:$A$304,$A9,'Leave Log'!$C$5:$C$304,"&lt;="&amp;L$5,'Leave Log'!$D$5:$D$304,"&gt;="&amp;L$5,'Leave Log'!$F$5:$F$304,"&lt;&gt;Rejected",'Leave Log'!$B$5:$B$304,"UL")&gt;0,"UL",IF(COUNTIFS('Leave Log'!$A$5:$A$304,$A9,'Leave Log'!$C$5:$C$304,"&lt;="&amp;L$5,'Leave Log'!$D$5:$D$304,"&gt;="&amp;L$5,'Leave Log'!$F$5:$F$304,"&lt;&gt;Rejected",'Leave Log'!$B$5:$B$304,"OT")&gt;0,"OT",""))))))</f>
        <v/>
      </c>
      <c r="M9" s="12" t="str">
        <f aca="false">IF(OR(M$5="",$A9=""),"",IF(COUNTIFS('Leave Log'!$A$5:$A$304,$A9,'Leave Log'!$C$5:$C$304,"&lt;="&amp;M$5,'Leave Log'!$D$5:$D$304,"&gt;="&amp;M$5,'Leave Log'!$F$5:$F$304,"&lt;&gt;Rejected",'Leave Log'!$B$5:$B$304,"AL")&gt;0,"AL",IF(COUNTIFS('Leave Log'!$A$5:$A$304,$A9,'Leave Log'!$C$5:$C$304,"&lt;="&amp;M$5,'Leave Log'!$D$5:$D$304,"&gt;="&amp;M$5,'Leave Log'!$F$5:$F$304,"&lt;&gt;Rejected",'Leave Log'!$B$5:$B$304,"SL")&gt;0,"SL",IF(COUNTIFS('Leave Log'!$A$5:$A$304,$A9,'Leave Log'!$C$5:$C$304,"&lt;="&amp;M$5,'Leave Log'!$D$5:$D$304,"&gt;="&amp;M$5,'Leave Log'!$F$5:$F$304,"&lt;&gt;Rejected",'Leave Log'!$B$5:$B$304,"CL")&gt;0,"CL",IF(COUNTIFS('Leave Log'!$A$5:$A$304,$A9,'Leave Log'!$C$5:$C$304,"&lt;="&amp;M$5,'Leave Log'!$D$5:$D$304,"&gt;="&amp;M$5,'Leave Log'!$F$5:$F$304,"&lt;&gt;Rejected",'Leave Log'!$B$5:$B$304,"UL")&gt;0,"UL",IF(COUNTIFS('Leave Log'!$A$5:$A$304,$A9,'Leave Log'!$C$5:$C$304,"&lt;="&amp;M$5,'Leave Log'!$D$5:$D$304,"&gt;="&amp;M$5,'Leave Log'!$F$5:$F$304,"&lt;&gt;Rejected",'Leave Log'!$B$5:$B$304,"OT")&gt;0,"OT",""))))))</f>
        <v/>
      </c>
      <c r="N9" s="12" t="str">
        <f aca="false">IF(OR(N$5="",$A9=""),"",IF(COUNTIFS('Leave Log'!$A$5:$A$304,$A9,'Leave Log'!$C$5:$C$304,"&lt;="&amp;N$5,'Leave Log'!$D$5:$D$304,"&gt;="&amp;N$5,'Leave Log'!$F$5:$F$304,"&lt;&gt;Rejected",'Leave Log'!$B$5:$B$304,"AL")&gt;0,"AL",IF(COUNTIFS('Leave Log'!$A$5:$A$304,$A9,'Leave Log'!$C$5:$C$304,"&lt;="&amp;N$5,'Leave Log'!$D$5:$D$304,"&gt;="&amp;N$5,'Leave Log'!$F$5:$F$304,"&lt;&gt;Rejected",'Leave Log'!$B$5:$B$304,"SL")&gt;0,"SL",IF(COUNTIFS('Leave Log'!$A$5:$A$304,$A9,'Leave Log'!$C$5:$C$304,"&lt;="&amp;N$5,'Leave Log'!$D$5:$D$304,"&gt;="&amp;N$5,'Leave Log'!$F$5:$F$304,"&lt;&gt;Rejected",'Leave Log'!$B$5:$B$304,"CL")&gt;0,"CL",IF(COUNTIFS('Leave Log'!$A$5:$A$304,$A9,'Leave Log'!$C$5:$C$304,"&lt;="&amp;N$5,'Leave Log'!$D$5:$D$304,"&gt;="&amp;N$5,'Leave Log'!$F$5:$F$304,"&lt;&gt;Rejected",'Leave Log'!$B$5:$B$304,"UL")&gt;0,"UL",IF(COUNTIFS('Leave Log'!$A$5:$A$304,$A9,'Leave Log'!$C$5:$C$304,"&lt;="&amp;N$5,'Leave Log'!$D$5:$D$304,"&gt;="&amp;N$5,'Leave Log'!$F$5:$F$304,"&lt;&gt;Rejected",'Leave Log'!$B$5:$B$304,"OT")&gt;0,"OT",""))))))</f>
        <v/>
      </c>
      <c r="O9" s="12" t="str">
        <f aca="false">IF(OR(O$5="",$A9=""),"",IF(COUNTIFS('Leave Log'!$A$5:$A$304,$A9,'Leave Log'!$C$5:$C$304,"&lt;="&amp;O$5,'Leave Log'!$D$5:$D$304,"&gt;="&amp;O$5,'Leave Log'!$F$5:$F$304,"&lt;&gt;Rejected",'Leave Log'!$B$5:$B$304,"AL")&gt;0,"AL",IF(COUNTIFS('Leave Log'!$A$5:$A$304,$A9,'Leave Log'!$C$5:$C$304,"&lt;="&amp;O$5,'Leave Log'!$D$5:$D$304,"&gt;="&amp;O$5,'Leave Log'!$F$5:$F$304,"&lt;&gt;Rejected",'Leave Log'!$B$5:$B$304,"SL")&gt;0,"SL",IF(COUNTIFS('Leave Log'!$A$5:$A$304,$A9,'Leave Log'!$C$5:$C$304,"&lt;="&amp;O$5,'Leave Log'!$D$5:$D$304,"&gt;="&amp;O$5,'Leave Log'!$F$5:$F$304,"&lt;&gt;Rejected",'Leave Log'!$B$5:$B$304,"CL")&gt;0,"CL",IF(COUNTIFS('Leave Log'!$A$5:$A$304,$A9,'Leave Log'!$C$5:$C$304,"&lt;="&amp;O$5,'Leave Log'!$D$5:$D$304,"&gt;="&amp;O$5,'Leave Log'!$F$5:$F$304,"&lt;&gt;Rejected",'Leave Log'!$B$5:$B$304,"UL")&gt;0,"UL",IF(COUNTIFS('Leave Log'!$A$5:$A$304,$A9,'Leave Log'!$C$5:$C$304,"&lt;="&amp;O$5,'Leave Log'!$D$5:$D$304,"&gt;="&amp;O$5,'Leave Log'!$F$5:$F$304,"&lt;&gt;Rejected",'Leave Log'!$B$5:$B$304,"OT")&gt;0,"OT",""))))))</f>
        <v/>
      </c>
      <c r="P9" s="12" t="str">
        <f aca="false">IF(OR(P$5="",$A9=""),"",IF(COUNTIFS('Leave Log'!$A$5:$A$304,$A9,'Leave Log'!$C$5:$C$304,"&lt;="&amp;P$5,'Leave Log'!$D$5:$D$304,"&gt;="&amp;P$5,'Leave Log'!$F$5:$F$304,"&lt;&gt;Rejected",'Leave Log'!$B$5:$B$304,"AL")&gt;0,"AL",IF(COUNTIFS('Leave Log'!$A$5:$A$304,$A9,'Leave Log'!$C$5:$C$304,"&lt;="&amp;P$5,'Leave Log'!$D$5:$D$304,"&gt;="&amp;P$5,'Leave Log'!$F$5:$F$304,"&lt;&gt;Rejected",'Leave Log'!$B$5:$B$304,"SL")&gt;0,"SL",IF(COUNTIFS('Leave Log'!$A$5:$A$304,$A9,'Leave Log'!$C$5:$C$304,"&lt;="&amp;P$5,'Leave Log'!$D$5:$D$304,"&gt;="&amp;P$5,'Leave Log'!$F$5:$F$304,"&lt;&gt;Rejected",'Leave Log'!$B$5:$B$304,"CL")&gt;0,"CL",IF(COUNTIFS('Leave Log'!$A$5:$A$304,$A9,'Leave Log'!$C$5:$C$304,"&lt;="&amp;P$5,'Leave Log'!$D$5:$D$304,"&gt;="&amp;P$5,'Leave Log'!$F$5:$F$304,"&lt;&gt;Rejected",'Leave Log'!$B$5:$B$304,"UL")&gt;0,"UL",IF(COUNTIFS('Leave Log'!$A$5:$A$304,$A9,'Leave Log'!$C$5:$C$304,"&lt;="&amp;P$5,'Leave Log'!$D$5:$D$304,"&gt;="&amp;P$5,'Leave Log'!$F$5:$F$304,"&lt;&gt;Rejected",'Leave Log'!$B$5:$B$304,"OT")&gt;0,"OT",""))))))</f>
        <v/>
      </c>
      <c r="Q9" s="12" t="str">
        <f aca="false">IF(OR(Q$5="",$A9=""),"",IF(COUNTIFS('Leave Log'!$A$5:$A$304,$A9,'Leave Log'!$C$5:$C$304,"&lt;="&amp;Q$5,'Leave Log'!$D$5:$D$304,"&gt;="&amp;Q$5,'Leave Log'!$F$5:$F$304,"&lt;&gt;Rejected",'Leave Log'!$B$5:$B$304,"AL")&gt;0,"AL",IF(COUNTIFS('Leave Log'!$A$5:$A$304,$A9,'Leave Log'!$C$5:$C$304,"&lt;="&amp;Q$5,'Leave Log'!$D$5:$D$304,"&gt;="&amp;Q$5,'Leave Log'!$F$5:$F$304,"&lt;&gt;Rejected",'Leave Log'!$B$5:$B$304,"SL")&gt;0,"SL",IF(COUNTIFS('Leave Log'!$A$5:$A$304,$A9,'Leave Log'!$C$5:$C$304,"&lt;="&amp;Q$5,'Leave Log'!$D$5:$D$304,"&gt;="&amp;Q$5,'Leave Log'!$F$5:$F$304,"&lt;&gt;Rejected",'Leave Log'!$B$5:$B$304,"CL")&gt;0,"CL",IF(COUNTIFS('Leave Log'!$A$5:$A$304,$A9,'Leave Log'!$C$5:$C$304,"&lt;="&amp;Q$5,'Leave Log'!$D$5:$D$304,"&gt;="&amp;Q$5,'Leave Log'!$F$5:$F$304,"&lt;&gt;Rejected",'Leave Log'!$B$5:$B$304,"UL")&gt;0,"UL",IF(COUNTIFS('Leave Log'!$A$5:$A$304,$A9,'Leave Log'!$C$5:$C$304,"&lt;="&amp;Q$5,'Leave Log'!$D$5:$D$304,"&gt;="&amp;Q$5,'Leave Log'!$F$5:$F$304,"&lt;&gt;Rejected",'Leave Log'!$B$5:$B$304,"OT")&gt;0,"OT",""))))))</f>
        <v/>
      </c>
      <c r="R9" s="12" t="str">
        <f aca="false">IF(OR(R$5="",$A9=""),"",IF(COUNTIFS('Leave Log'!$A$5:$A$304,$A9,'Leave Log'!$C$5:$C$304,"&lt;="&amp;R$5,'Leave Log'!$D$5:$D$304,"&gt;="&amp;R$5,'Leave Log'!$F$5:$F$304,"&lt;&gt;Rejected",'Leave Log'!$B$5:$B$304,"AL")&gt;0,"AL",IF(COUNTIFS('Leave Log'!$A$5:$A$304,$A9,'Leave Log'!$C$5:$C$304,"&lt;="&amp;R$5,'Leave Log'!$D$5:$D$304,"&gt;="&amp;R$5,'Leave Log'!$F$5:$F$304,"&lt;&gt;Rejected",'Leave Log'!$B$5:$B$304,"SL")&gt;0,"SL",IF(COUNTIFS('Leave Log'!$A$5:$A$304,$A9,'Leave Log'!$C$5:$C$304,"&lt;="&amp;R$5,'Leave Log'!$D$5:$D$304,"&gt;="&amp;R$5,'Leave Log'!$F$5:$F$304,"&lt;&gt;Rejected",'Leave Log'!$B$5:$B$304,"CL")&gt;0,"CL",IF(COUNTIFS('Leave Log'!$A$5:$A$304,$A9,'Leave Log'!$C$5:$C$304,"&lt;="&amp;R$5,'Leave Log'!$D$5:$D$304,"&gt;="&amp;R$5,'Leave Log'!$F$5:$F$304,"&lt;&gt;Rejected",'Leave Log'!$B$5:$B$304,"UL")&gt;0,"UL",IF(COUNTIFS('Leave Log'!$A$5:$A$304,$A9,'Leave Log'!$C$5:$C$304,"&lt;="&amp;R$5,'Leave Log'!$D$5:$D$304,"&gt;="&amp;R$5,'Leave Log'!$F$5:$F$304,"&lt;&gt;Rejected",'Leave Log'!$B$5:$B$304,"OT")&gt;0,"OT",""))))))</f>
        <v/>
      </c>
      <c r="S9" s="12" t="str">
        <f aca="false">IF(OR(S$5="",$A9=""),"",IF(COUNTIFS('Leave Log'!$A$5:$A$304,$A9,'Leave Log'!$C$5:$C$304,"&lt;="&amp;S$5,'Leave Log'!$D$5:$D$304,"&gt;="&amp;S$5,'Leave Log'!$F$5:$F$304,"&lt;&gt;Rejected",'Leave Log'!$B$5:$B$304,"AL")&gt;0,"AL",IF(COUNTIFS('Leave Log'!$A$5:$A$304,$A9,'Leave Log'!$C$5:$C$304,"&lt;="&amp;S$5,'Leave Log'!$D$5:$D$304,"&gt;="&amp;S$5,'Leave Log'!$F$5:$F$304,"&lt;&gt;Rejected",'Leave Log'!$B$5:$B$304,"SL")&gt;0,"SL",IF(COUNTIFS('Leave Log'!$A$5:$A$304,$A9,'Leave Log'!$C$5:$C$304,"&lt;="&amp;S$5,'Leave Log'!$D$5:$D$304,"&gt;="&amp;S$5,'Leave Log'!$F$5:$F$304,"&lt;&gt;Rejected",'Leave Log'!$B$5:$B$304,"CL")&gt;0,"CL",IF(COUNTIFS('Leave Log'!$A$5:$A$304,$A9,'Leave Log'!$C$5:$C$304,"&lt;="&amp;S$5,'Leave Log'!$D$5:$D$304,"&gt;="&amp;S$5,'Leave Log'!$F$5:$F$304,"&lt;&gt;Rejected",'Leave Log'!$B$5:$B$304,"UL")&gt;0,"UL",IF(COUNTIFS('Leave Log'!$A$5:$A$304,$A9,'Leave Log'!$C$5:$C$304,"&lt;="&amp;S$5,'Leave Log'!$D$5:$D$304,"&gt;="&amp;S$5,'Leave Log'!$F$5:$F$304,"&lt;&gt;Rejected",'Leave Log'!$B$5:$B$304,"OT")&gt;0,"OT",""))))))</f>
        <v/>
      </c>
      <c r="T9" s="12" t="str">
        <f aca="false">IF(OR(T$5="",$A9=""),"",IF(COUNTIFS('Leave Log'!$A$5:$A$304,$A9,'Leave Log'!$C$5:$C$304,"&lt;="&amp;T$5,'Leave Log'!$D$5:$D$304,"&gt;="&amp;T$5,'Leave Log'!$F$5:$F$304,"&lt;&gt;Rejected",'Leave Log'!$B$5:$B$304,"AL")&gt;0,"AL",IF(COUNTIFS('Leave Log'!$A$5:$A$304,$A9,'Leave Log'!$C$5:$C$304,"&lt;="&amp;T$5,'Leave Log'!$D$5:$D$304,"&gt;="&amp;T$5,'Leave Log'!$F$5:$F$304,"&lt;&gt;Rejected",'Leave Log'!$B$5:$B$304,"SL")&gt;0,"SL",IF(COUNTIFS('Leave Log'!$A$5:$A$304,$A9,'Leave Log'!$C$5:$C$304,"&lt;="&amp;T$5,'Leave Log'!$D$5:$D$304,"&gt;="&amp;T$5,'Leave Log'!$F$5:$F$304,"&lt;&gt;Rejected",'Leave Log'!$B$5:$B$304,"CL")&gt;0,"CL",IF(COUNTIFS('Leave Log'!$A$5:$A$304,$A9,'Leave Log'!$C$5:$C$304,"&lt;="&amp;T$5,'Leave Log'!$D$5:$D$304,"&gt;="&amp;T$5,'Leave Log'!$F$5:$F$304,"&lt;&gt;Rejected",'Leave Log'!$B$5:$B$304,"UL")&gt;0,"UL",IF(COUNTIFS('Leave Log'!$A$5:$A$304,$A9,'Leave Log'!$C$5:$C$304,"&lt;="&amp;T$5,'Leave Log'!$D$5:$D$304,"&gt;="&amp;T$5,'Leave Log'!$F$5:$F$304,"&lt;&gt;Rejected",'Leave Log'!$B$5:$B$304,"OT")&gt;0,"OT",""))))))</f>
        <v/>
      </c>
      <c r="U9" s="12" t="str">
        <f aca="false">IF(OR(U$5="",$A9=""),"",IF(COUNTIFS('Leave Log'!$A$5:$A$304,$A9,'Leave Log'!$C$5:$C$304,"&lt;="&amp;U$5,'Leave Log'!$D$5:$D$304,"&gt;="&amp;U$5,'Leave Log'!$F$5:$F$304,"&lt;&gt;Rejected",'Leave Log'!$B$5:$B$304,"AL")&gt;0,"AL",IF(COUNTIFS('Leave Log'!$A$5:$A$304,$A9,'Leave Log'!$C$5:$C$304,"&lt;="&amp;U$5,'Leave Log'!$D$5:$D$304,"&gt;="&amp;U$5,'Leave Log'!$F$5:$F$304,"&lt;&gt;Rejected",'Leave Log'!$B$5:$B$304,"SL")&gt;0,"SL",IF(COUNTIFS('Leave Log'!$A$5:$A$304,$A9,'Leave Log'!$C$5:$C$304,"&lt;="&amp;U$5,'Leave Log'!$D$5:$D$304,"&gt;="&amp;U$5,'Leave Log'!$F$5:$F$304,"&lt;&gt;Rejected",'Leave Log'!$B$5:$B$304,"CL")&gt;0,"CL",IF(COUNTIFS('Leave Log'!$A$5:$A$304,$A9,'Leave Log'!$C$5:$C$304,"&lt;="&amp;U$5,'Leave Log'!$D$5:$D$304,"&gt;="&amp;U$5,'Leave Log'!$F$5:$F$304,"&lt;&gt;Rejected",'Leave Log'!$B$5:$B$304,"UL")&gt;0,"UL",IF(COUNTIFS('Leave Log'!$A$5:$A$304,$A9,'Leave Log'!$C$5:$C$304,"&lt;="&amp;U$5,'Leave Log'!$D$5:$D$304,"&gt;="&amp;U$5,'Leave Log'!$F$5:$F$304,"&lt;&gt;Rejected",'Leave Log'!$B$5:$B$304,"OT")&gt;0,"OT",""))))))</f>
        <v/>
      </c>
      <c r="V9" s="12" t="str">
        <f aca="false">IF(OR(V$5="",$A9=""),"",IF(COUNTIFS('Leave Log'!$A$5:$A$304,$A9,'Leave Log'!$C$5:$C$304,"&lt;="&amp;V$5,'Leave Log'!$D$5:$D$304,"&gt;="&amp;V$5,'Leave Log'!$F$5:$F$304,"&lt;&gt;Rejected",'Leave Log'!$B$5:$B$304,"AL")&gt;0,"AL",IF(COUNTIFS('Leave Log'!$A$5:$A$304,$A9,'Leave Log'!$C$5:$C$304,"&lt;="&amp;V$5,'Leave Log'!$D$5:$D$304,"&gt;="&amp;V$5,'Leave Log'!$F$5:$F$304,"&lt;&gt;Rejected",'Leave Log'!$B$5:$B$304,"SL")&gt;0,"SL",IF(COUNTIFS('Leave Log'!$A$5:$A$304,$A9,'Leave Log'!$C$5:$C$304,"&lt;="&amp;V$5,'Leave Log'!$D$5:$D$304,"&gt;="&amp;V$5,'Leave Log'!$F$5:$F$304,"&lt;&gt;Rejected",'Leave Log'!$B$5:$B$304,"CL")&gt;0,"CL",IF(COUNTIFS('Leave Log'!$A$5:$A$304,$A9,'Leave Log'!$C$5:$C$304,"&lt;="&amp;V$5,'Leave Log'!$D$5:$D$304,"&gt;="&amp;V$5,'Leave Log'!$F$5:$F$304,"&lt;&gt;Rejected",'Leave Log'!$B$5:$B$304,"UL")&gt;0,"UL",IF(COUNTIFS('Leave Log'!$A$5:$A$304,$A9,'Leave Log'!$C$5:$C$304,"&lt;="&amp;V$5,'Leave Log'!$D$5:$D$304,"&gt;="&amp;V$5,'Leave Log'!$F$5:$F$304,"&lt;&gt;Rejected",'Leave Log'!$B$5:$B$304,"OT")&gt;0,"OT",""))))))</f>
        <v/>
      </c>
      <c r="W9" s="12" t="str">
        <f aca="false">IF(OR(W$5="",$A9=""),"",IF(COUNTIFS('Leave Log'!$A$5:$A$304,$A9,'Leave Log'!$C$5:$C$304,"&lt;="&amp;W$5,'Leave Log'!$D$5:$D$304,"&gt;="&amp;W$5,'Leave Log'!$F$5:$F$304,"&lt;&gt;Rejected",'Leave Log'!$B$5:$B$304,"AL")&gt;0,"AL",IF(COUNTIFS('Leave Log'!$A$5:$A$304,$A9,'Leave Log'!$C$5:$C$304,"&lt;="&amp;W$5,'Leave Log'!$D$5:$D$304,"&gt;="&amp;W$5,'Leave Log'!$F$5:$F$304,"&lt;&gt;Rejected",'Leave Log'!$B$5:$B$304,"SL")&gt;0,"SL",IF(COUNTIFS('Leave Log'!$A$5:$A$304,$A9,'Leave Log'!$C$5:$C$304,"&lt;="&amp;W$5,'Leave Log'!$D$5:$D$304,"&gt;="&amp;W$5,'Leave Log'!$F$5:$F$304,"&lt;&gt;Rejected",'Leave Log'!$B$5:$B$304,"CL")&gt;0,"CL",IF(COUNTIFS('Leave Log'!$A$5:$A$304,$A9,'Leave Log'!$C$5:$C$304,"&lt;="&amp;W$5,'Leave Log'!$D$5:$D$304,"&gt;="&amp;W$5,'Leave Log'!$F$5:$F$304,"&lt;&gt;Rejected",'Leave Log'!$B$5:$B$304,"UL")&gt;0,"UL",IF(COUNTIFS('Leave Log'!$A$5:$A$304,$A9,'Leave Log'!$C$5:$C$304,"&lt;="&amp;W$5,'Leave Log'!$D$5:$D$304,"&gt;="&amp;W$5,'Leave Log'!$F$5:$F$304,"&lt;&gt;Rejected",'Leave Log'!$B$5:$B$304,"OT")&gt;0,"OT",""))))))</f>
        <v/>
      </c>
      <c r="X9" s="12" t="str">
        <f aca="false">IF(OR(X$5="",$A9=""),"",IF(COUNTIFS('Leave Log'!$A$5:$A$304,$A9,'Leave Log'!$C$5:$C$304,"&lt;="&amp;X$5,'Leave Log'!$D$5:$D$304,"&gt;="&amp;X$5,'Leave Log'!$F$5:$F$304,"&lt;&gt;Rejected",'Leave Log'!$B$5:$B$304,"AL")&gt;0,"AL",IF(COUNTIFS('Leave Log'!$A$5:$A$304,$A9,'Leave Log'!$C$5:$C$304,"&lt;="&amp;X$5,'Leave Log'!$D$5:$D$304,"&gt;="&amp;X$5,'Leave Log'!$F$5:$F$304,"&lt;&gt;Rejected",'Leave Log'!$B$5:$B$304,"SL")&gt;0,"SL",IF(COUNTIFS('Leave Log'!$A$5:$A$304,$A9,'Leave Log'!$C$5:$C$304,"&lt;="&amp;X$5,'Leave Log'!$D$5:$D$304,"&gt;="&amp;X$5,'Leave Log'!$F$5:$F$304,"&lt;&gt;Rejected",'Leave Log'!$B$5:$B$304,"CL")&gt;0,"CL",IF(COUNTIFS('Leave Log'!$A$5:$A$304,$A9,'Leave Log'!$C$5:$C$304,"&lt;="&amp;X$5,'Leave Log'!$D$5:$D$304,"&gt;="&amp;X$5,'Leave Log'!$F$5:$F$304,"&lt;&gt;Rejected",'Leave Log'!$B$5:$B$304,"UL")&gt;0,"UL",IF(COUNTIFS('Leave Log'!$A$5:$A$304,$A9,'Leave Log'!$C$5:$C$304,"&lt;="&amp;X$5,'Leave Log'!$D$5:$D$304,"&gt;="&amp;X$5,'Leave Log'!$F$5:$F$304,"&lt;&gt;Rejected",'Leave Log'!$B$5:$B$304,"OT")&gt;0,"OT",""))))))</f>
        <v/>
      </c>
      <c r="Y9" s="12" t="str">
        <f aca="false">IF(OR(Y$5="",$A9=""),"",IF(COUNTIFS('Leave Log'!$A$5:$A$304,$A9,'Leave Log'!$C$5:$C$304,"&lt;="&amp;Y$5,'Leave Log'!$D$5:$D$304,"&gt;="&amp;Y$5,'Leave Log'!$F$5:$F$304,"&lt;&gt;Rejected",'Leave Log'!$B$5:$B$304,"AL")&gt;0,"AL",IF(COUNTIFS('Leave Log'!$A$5:$A$304,$A9,'Leave Log'!$C$5:$C$304,"&lt;="&amp;Y$5,'Leave Log'!$D$5:$D$304,"&gt;="&amp;Y$5,'Leave Log'!$F$5:$F$304,"&lt;&gt;Rejected",'Leave Log'!$B$5:$B$304,"SL")&gt;0,"SL",IF(COUNTIFS('Leave Log'!$A$5:$A$304,$A9,'Leave Log'!$C$5:$C$304,"&lt;="&amp;Y$5,'Leave Log'!$D$5:$D$304,"&gt;="&amp;Y$5,'Leave Log'!$F$5:$F$304,"&lt;&gt;Rejected",'Leave Log'!$B$5:$B$304,"CL")&gt;0,"CL",IF(COUNTIFS('Leave Log'!$A$5:$A$304,$A9,'Leave Log'!$C$5:$C$304,"&lt;="&amp;Y$5,'Leave Log'!$D$5:$D$304,"&gt;="&amp;Y$5,'Leave Log'!$F$5:$F$304,"&lt;&gt;Rejected",'Leave Log'!$B$5:$B$304,"UL")&gt;0,"UL",IF(COUNTIFS('Leave Log'!$A$5:$A$304,$A9,'Leave Log'!$C$5:$C$304,"&lt;="&amp;Y$5,'Leave Log'!$D$5:$D$304,"&gt;="&amp;Y$5,'Leave Log'!$F$5:$F$304,"&lt;&gt;Rejected",'Leave Log'!$B$5:$B$304,"OT")&gt;0,"OT",""))))))</f>
        <v/>
      </c>
      <c r="Z9" s="12" t="str">
        <f aca="false">IF(OR(Z$5="",$A9=""),"",IF(COUNTIFS('Leave Log'!$A$5:$A$304,$A9,'Leave Log'!$C$5:$C$304,"&lt;="&amp;Z$5,'Leave Log'!$D$5:$D$304,"&gt;="&amp;Z$5,'Leave Log'!$F$5:$F$304,"&lt;&gt;Rejected",'Leave Log'!$B$5:$B$304,"AL")&gt;0,"AL",IF(COUNTIFS('Leave Log'!$A$5:$A$304,$A9,'Leave Log'!$C$5:$C$304,"&lt;="&amp;Z$5,'Leave Log'!$D$5:$D$304,"&gt;="&amp;Z$5,'Leave Log'!$F$5:$F$304,"&lt;&gt;Rejected",'Leave Log'!$B$5:$B$304,"SL")&gt;0,"SL",IF(COUNTIFS('Leave Log'!$A$5:$A$304,$A9,'Leave Log'!$C$5:$C$304,"&lt;="&amp;Z$5,'Leave Log'!$D$5:$D$304,"&gt;="&amp;Z$5,'Leave Log'!$F$5:$F$304,"&lt;&gt;Rejected",'Leave Log'!$B$5:$B$304,"CL")&gt;0,"CL",IF(COUNTIFS('Leave Log'!$A$5:$A$304,$A9,'Leave Log'!$C$5:$C$304,"&lt;="&amp;Z$5,'Leave Log'!$D$5:$D$304,"&gt;="&amp;Z$5,'Leave Log'!$F$5:$F$304,"&lt;&gt;Rejected",'Leave Log'!$B$5:$B$304,"UL")&gt;0,"UL",IF(COUNTIFS('Leave Log'!$A$5:$A$304,$A9,'Leave Log'!$C$5:$C$304,"&lt;="&amp;Z$5,'Leave Log'!$D$5:$D$304,"&gt;="&amp;Z$5,'Leave Log'!$F$5:$F$304,"&lt;&gt;Rejected",'Leave Log'!$B$5:$B$304,"OT")&gt;0,"OT",""))))))</f>
        <v/>
      </c>
      <c r="AA9" s="12" t="str">
        <f aca="false">IF(OR(AA$5="",$A9=""),"",IF(COUNTIFS('Leave Log'!$A$5:$A$304,$A9,'Leave Log'!$C$5:$C$304,"&lt;="&amp;AA$5,'Leave Log'!$D$5:$D$304,"&gt;="&amp;AA$5,'Leave Log'!$F$5:$F$304,"&lt;&gt;Rejected",'Leave Log'!$B$5:$B$304,"AL")&gt;0,"AL",IF(COUNTIFS('Leave Log'!$A$5:$A$304,$A9,'Leave Log'!$C$5:$C$304,"&lt;="&amp;AA$5,'Leave Log'!$D$5:$D$304,"&gt;="&amp;AA$5,'Leave Log'!$F$5:$F$304,"&lt;&gt;Rejected",'Leave Log'!$B$5:$B$304,"SL")&gt;0,"SL",IF(COUNTIFS('Leave Log'!$A$5:$A$304,$A9,'Leave Log'!$C$5:$C$304,"&lt;="&amp;AA$5,'Leave Log'!$D$5:$D$304,"&gt;="&amp;AA$5,'Leave Log'!$F$5:$F$304,"&lt;&gt;Rejected",'Leave Log'!$B$5:$B$304,"CL")&gt;0,"CL",IF(COUNTIFS('Leave Log'!$A$5:$A$304,$A9,'Leave Log'!$C$5:$C$304,"&lt;="&amp;AA$5,'Leave Log'!$D$5:$D$304,"&gt;="&amp;AA$5,'Leave Log'!$F$5:$F$304,"&lt;&gt;Rejected",'Leave Log'!$B$5:$B$304,"UL")&gt;0,"UL",IF(COUNTIFS('Leave Log'!$A$5:$A$304,$A9,'Leave Log'!$C$5:$C$304,"&lt;="&amp;AA$5,'Leave Log'!$D$5:$D$304,"&gt;="&amp;AA$5,'Leave Log'!$F$5:$F$304,"&lt;&gt;Rejected",'Leave Log'!$B$5:$B$304,"OT")&gt;0,"OT",""))))))</f>
        <v/>
      </c>
      <c r="AB9" s="12" t="str">
        <f aca="false">IF(OR(AB$5="",$A9=""),"",IF(COUNTIFS('Leave Log'!$A$5:$A$304,$A9,'Leave Log'!$C$5:$C$304,"&lt;="&amp;AB$5,'Leave Log'!$D$5:$D$304,"&gt;="&amp;AB$5,'Leave Log'!$F$5:$F$304,"&lt;&gt;Rejected",'Leave Log'!$B$5:$B$304,"AL")&gt;0,"AL",IF(COUNTIFS('Leave Log'!$A$5:$A$304,$A9,'Leave Log'!$C$5:$C$304,"&lt;="&amp;AB$5,'Leave Log'!$D$5:$D$304,"&gt;="&amp;AB$5,'Leave Log'!$F$5:$F$304,"&lt;&gt;Rejected",'Leave Log'!$B$5:$B$304,"SL")&gt;0,"SL",IF(COUNTIFS('Leave Log'!$A$5:$A$304,$A9,'Leave Log'!$C$5:$C$304,"&lt;="&amp;AB$5,'Leave Log'!$D$5:$D$304,"&gt;="&amp;AB$5,'Leave Log'!$F$5:$F$304,"&lt;&gt;Rejected",'Leave Log'!$B$5:$B$304,"CL")&gt;0,"CL",IF(COUNTIFS('Leave Log'!$A$5:$A$304,$A9,'Leave Log'!$C$5:$C$304,"&lt;="&amp;AB$5,'Leave Log'!$D$5:$D$304,"&gt;="&amp;AB$5,'Leave Log'!$F$5:$F$304,"&lt;&gt;Rejected",'Leave Log'!$B$5:$B$304,"UL")&gt;0,"UL",IF(COUNTIFS('Leave Log'!$A$5:$A$304,$A9,'Leave Log'!$C$5:$C$304,"&lt;="&amp;AB$5,'Leave Log'!$D$5:$D$304,"&gt;="&amp;AB$5,'Leave Log'!$F$5:$F$304,"&lt;&gt;Rejected",'Leave Log'!$B$5:$B$304,"OT")&gt;0,"OT",""))))))</f>
        <v/>
      </c>
      <c r="AC9" s="12" t="str">
        <f aca="false">IF(OR(AC$5="",$A9=""),"",IF(COUNTIFS('Leave Log'!$A$5:$A$304,$A9,'Leave Log'!$C$5:$C$304,"&lt;="&amp;AC$5,'Leave Log'!$D$5:$D$304,"&gt;="&amp;AC$5,'Leave Log'!$F$5:$F$304,"&lt;&gt;Rejected",'Leave Log'!$B$5:$B$304,"AL")&gt;0,"AL",IF(COUNTIFS('Leave Log'!$A$5:$A$304,$A9,'Leave Log'!$C$5:$C$304,"&lt;="&amp;AC$5,'Leave Log'!$D$5:$D$304,"&gt;="&amp;AC$5,'Leave Log'!$F$5:$F$304,"&lt;&gt;Rejected",'Leave Log'!$B$5:$B$304,"SL")&gt;0,"SL",IF(COUNTIFS('Leave Log'!$A$5:$A$304,$A9,'Leave Log'!$C$5:$C$304,"&lt;="&amp;AC$5,'Leave Log'!$D$5:$D$304,"&gt;="&amp;AC$5,'Leave Log'!$F$5:$F$304,"&lt;&gt;Rejected",'Leave Log'!$B$5:$B$304,"CL")&gt;0,"CL",IF(COUNTIFS('Leave Log'!$A$5:$A$304,$A9,'Leave Log'!$C$5:$C$304,"&lt;="&amp;AC$5,'Leave Log'!$D$5:$D$304,"&gt;="&amp;AC$5,'Leave Log'!$F$5:$F$304,"&lt;&gt;Rejected",'Leave Log'!$B$5:$B$304,"UL")&gt;0,"UL",IF(COUNTIFS('Leave Log'!$A$5:$A$304,$A9,'Leave Log'!$C$5:$C$304,"&lt;="&amp;AC$5,'Leave Log'!$D$5:$D$304,"&gt;="&amp;AC$5,'Leave Log'!$F$5:$F$304,"&lt;&gt;Rejected",'Leave Log'!$B$5:$B$304,"OT")&gt;0,"OT",""))))))</f>
        <v/>
      </c>
      <c r="AD9" s="12" t="str">
        <f aca="false">IF(OR(AD$5="",$A9=""),"",IF(COUNTIFS('Leave Log'!$A$5:$A$304,$A9,'Leave Log'!$C$5:$C$304,"&lt;="&amp;AD$5,'Leave Log'!$D$5:$D$304,"&gt;="&amp;AD$5,'Leave Log'!$F$5:$F$304,"&lt;&gt;Rejected",'Leave Log'!$B$5:$B$304,"AL")&gt;0,"AL",IF(COUNTIFS('Leave Log'!$A$5:$A$304,$A9,'Leave Log'!$C$5:$C$304,"&lt;="&amp;AD$5,'Leave Log'!$D$5:$D$304,"&gt;="&amp;AD$5,'Leave Log'!$F$5:$F$304,"&lt;&gt;Rejected",'Leave Log'!$B$5:$B$304,"SL")&gt;0,"SL",IF(COUNTIFS('Leave Log'!$A$5:$A$304,$A9,'Leave Log'!$C$5:$C$304,"&lt;="&amp;AD$5,'Leave Log'!$D$5:$D$304,"&gt;="&amp;AD$5,'Leave Log'!$F$5:$F$304,"&lt;&gt;Rejected",'Leave Log'!$B$5:$B$304,"CL")&gt;0,"CL",IF(COUNTIFS('Leave Log'!$A$5:$A$304,$A9,'Leave Log'!$C$5:$C$304,"&lt;="&amp;AD$5,'Leave Log'!$D$5:$D$304,"&gt;="&amp;AD$5,'Leave Log'!$F$5:$F$304,"&lt;&gt;Rejected",'Leave Log'!$B$5:$B$304,"UL")&gt;0,"UL",IF(COUNTIFS('Leave Log'!$A$5:$A$304,$A9,'Leave Log'!$C$5:$C$304,"&lt;="&amp;AD$5,'Leave Log'!$D$5:$D$304,"&gt;="&amp;AD$5,'Leave Log'!$F$5:$F$304,"&lt;&gt;Rejected",'Leave Log'!$B$5:$B$304,"OT")&gt;0,"OT",""))))))</f>
        <v/>
      </c>
      <c r="AE9" s="12" t="str">
        <f aca="false">IF(OR(AE$5="",$A9=""),"",IF(COUNTIFS('Leave Log'!$A$5:$A$304,$A9,'Leave Log'!$C$5:$C$304,"&lt;="&amp;AE$5,'Leave Log'!$D$5:$D$304,"&gt;="&amp;AE$5,'Leave Log'!$F$5:$F$304,"&lt;&gt;Rejected",'Leave Log'!$B$5:$B$304,"AL")&gt;0,"AL",IF(COUNTIFS('Leave Log'!$A$5:$A$304,$A9,'Leave Log'!$C$5:$C$304,"&lt;="&amp;AE$5,'Leave Log'!$D$5:$D$304,"&gt;="&amp;AE$5,'Leave Log'!$F$5:$F$304,"&lt;&gt;Rejected",'Leave Log'!$B$5:$B$304,"SL")&gt;0,"SL",IF(COUNTIFS('Leave Log'!$A$5:$A$304,$A9,'Leave Log'!$C$5:$C$304,"&lt;="&amp;AE$5,'Leave Log'!$D$5:$D$304,"&gt;="&amp;AE$5,'Leave Log'!$F$5:$F$304,"&lt;&gt;Rejected",'Leave Log'!$B$5:$B$304,"CL")&gt;0,"CL",IF(COUNTIFS('Leave Log'!$A$5:$A$304,$A9,'Leave Log'!$C$5:$C$304,"&lt;="&amp;AE$5,'Leave Log'!$D$5:$D$304,"&gt;="&amp;AE$5,'Leave Log'!$F$5:$F$304,"&lt;&gt;Rejected",'Leave Log'!$B$5:$B$304,"UL")&gt;0,"UL",IF(COUNTIFS('Leave Log'!$A$5:$A$304,$A9,'Leave Log'!$C$5:$C$304,"&lt;="&amp;AE$5,'Leave Log'!$D$5:$D$304,"&gt;="&amp;AE$5,'Leave Log'!$F$5:$F$304,"&lt;&gt;Rejected",'Leave Log'!$B$5:$B$304,"OT")&gt;0,"OT",""))))))</f>
        <v>CL</v>
      </c>
      <c r="AF9" s="12" t="str">
        <f aca="false">IF(OR(AF$5="",$A9=""),"",IF(COUNTIFS('Leave Log'!$A$5:$A$304,$A9,'Leave Log'!$C$5:$C$304,"&lt;="&amp;AF$5,'Leave Log'!$D$5:$D$304,"&gt;="&amp;AF$5,'Leave Log'!$F$5:$F$304,"&lt;&gt;Rejected",'Leave Log'!$B$5:$B$304,"AL")&gt;0,"AL",IF(COUNTIFS('Leave Log'!$A$5:$A$304,$A9,'Leave Log'!$C$5:$C$304,"&lt;="&amp;AF$5,'Leave Log'!$D$5:$D$304,"&gt;="&amp;AF$5,'Leave Log'!$F$5:$F$304,"&lt;&gt;Rejected",'Leave Log'!$B$5:$B$304,"SL")&gt;0,"SL",IF(COUNTIFS('Leave Log'!$A$5:$A$304,$A9,'Leave Log'!$C$5:$C$304,"&lt;="&amp;AF$5,'Leave Log'!$D$5:$D$304,"&gt;="&amp;AF$5,'Leave Log'!$F$5:$F$304,"&lt;&gt;Rejected",'Leave Log'!$B$5:$B$304,"CL")&gt;0,"CL",IF(COUNTIFS('Leave Log'!$A$5:$A$304,$A9,'Leave Log'!$C$5:$C$304,"&lt;="&amp;AF$5,'Leave Log'!$D$5:$D$304,"&gt;="&amp;AF$5,'Leave Log'!$F$5:$F$304,"&lt;&gt;Rejected",'Leave Log'!$B$5:$B$304,"UL")&gt;0,"UL",IF(COUNTIFS('Leave Log'!$A$5:$A$304,$A9,'Leave Log'!$C$5:$C$304,"&lt;="&amp;AF$5,'Leave Log'!$D$5:$D$304,"&gt;="&amp;AF$5,'Leave Log'!$F$5:$F$304,"&lt;&gt;Rejected",'Leave Log'!$B$5:$B$304,"OT")&gt;0,"OT",""))))))</f>
        <v/>
      </c>
      <c r="AG9" s="12" t="str">
        <f aca="false">IF(OR(AG$5="",$A9=""),"",IF(COUNTIFS('Leave Log'!$A$5:$A$304,$A9,'Leave Log'!$C$5:$C$304,"&lt;="&amp;AG$5,'Leave Log'!$D$5:$D$304,"&gt;="&amp;AG$5,'Leave Log'!$F$5:$F$304,"&lt;&gt;Rejected",'Leave Log'!$B$5:$B$304,"AL")&gt;0,"AL",IF(COUNTIFS('Leave Log'!$A$5:$A$304,$A9,'Leave Log'!$C$5:$C$304,"&lt;="&amp;AG$5,'Leave Log'!$D$5:$D$304,"&gt;="&amp;AG$5,'Leave Log'!$F$5:$F$304,"&lt;&gt;Rejected",'Leave Log'!$B$5:$B$304,"SL")&gt;0,"SL",IF(COUNTIFS('Leave Log'!$A$5:$A$304,$A9,'Leave Log'!$C$5:$C$304,"&lt;="&amp;AG$5,'Leave Log'!$D$5:$D$304,"&gt;="&amp;AG$5,'Leave Log'!$F$5:$F$304,"&lt;&gt;Rejected",'Leave Log'!$B$5:$B$304,"CL")&gt;0,"CL",IF(COUNTIFS('Leave Log'!$A$5:$A$304,$A9,'Leave Log'!$C$5:$C$304,"&lt;="&amp;AG$5,'Leave Log'!$D$5:$D$304,"&gt;="&amp;AG$5,'Leave Log'!$F$5:$F$304,"&lt;&gt;Rejected",'Leave Log'!$B$5:$B$304,"UL")&gt;0,"UL",IF(COUNTIFS('Leave Log'!$A$5:$A$304,$A9,'Leave Log'!$C$5:$C$304,"&lt;="&amp;AG$5,'Leave Log'!$D$5:$D$304,"&gt;="&amp;AG$5,'Leave Log'!$F$5:$F$304,"&lt;&gt;Rejected",'Leave Log'!$B$5:$B$304,"OT")&gt;0,"OT",""))))))</f>
        <v/>
      </c>
    </row>
    <row r="10" customFormat="false" ht="15" hidden="false" customHeight="false" outlineLevel="0" collapsed="false">
      <c r="A10" s="3" t="str">
        <f aca="false">IF(Employees!B9="","",Employees!B9)</f>
        <v>Esther Mensah</v>
      </c>
      <c r="B10" s="11" t="str">
        <f aca="false">IF(Employees!B9="","",Employees!C9)</f>
        <v>HR</v>
      </c>
      <c r="C10" s="12" t="str">
        <f aca="false">IF(OR(C$5="",$A10=""),"",IF(COUNTIFS('Leave Log'!$A$5:$A$304,$A10,'Leave Log'!$C$5:$C$304,"&lt;="&amp;C$5,'Leave Log'!$D$5:$D$304,"&gt;="&amp;C$5,'Leave Log'!$F$5:$F$304,"&lt;&gt;Rejected",'Leave Log'!$B$5:$B$304,"AL")&gt;0,"AL",IF(COUNTIFS('Leave Log'!$A$5:$A$304,$A10,'Leave Log'!$C$5:$C$304,"&lt;="&amp;C$5,'Leave Log'!$D$5:$D$304,"&gt;="&amp;C$5,'Leave Log'!$F$5:$F$304,"&lt;&gt;Rejected",'Leave Log'!$B$5:$B$304,"SL")&gt;0,"SL",IF(COUNTIFS('Leave Log'!$A$5:$A$304,$A10,'Leave Log'!$C$5:$C$304,"&lt;="&amp;C$5,'Leave Log'!$D$5:$D$304,"&gt;="&amp;C$5,'Leave Log'!$F$5:$F$304,"&lt;&gt;Rejected",'Leave Log'!$B$5:$B$304,"CL")&gt;0,"CL",IF(COUNTIFS('Leave Log'!$A$5:$A$304,$A10,'Leave Log'!$C$5:$C$304,"&lt;="&amp;C$5,'Leave Log'!$D$5:$D$304,"&gt;="&amp;C$5,'Leave Log'!$F$5:$F$304,"&lt;&gt;Rejected",'Leave Log'!$B$5:$B$304,"UL")&gt;0,"UL",IF(COUNTIFS('Leave Log'!$A$5:$A$304,$A10,'Leave Log'!$C$5:$C$304,"&lt;="&amp;C$5,'Leave Log'!$D$5:$D$304,"&gt;="&amp;C$5,'Leave Log'!$F$5:$F$304,"&lt;&gt;Rejected",'Leave Log'!$B$5:$B$304,"OT")&gt;0,"OT",""))))))</f>
        <v/>
      </c>
      <c r="D10" s="12" t="str">
        <f aca="false">IF(OR(D$5="",$A10=""),"",IF(COUNTIFS('Leave Log'!$A$5:$A$304,$A10,'Leave Log'!$C$5:$C$304,"&lt;="&amp;D$5,'Leave Log'!$D$5:$D$304,"&gt;="&amp;D$5,'Leave Log'!$F$5:$F$304,"&lt;&gt;Rejected",'Leave Log'!$B$5:$B$304,"AL")&gt;0,"AL",IF(COUNTIFS('Leave Log'!$A$5:$A$304,$A10,'Leave Log'!$C$5:$C$304,"&lt;="&amp;D$5,'Leave Log'!$D$5:$D$304,"&gt;="&amp;D$5,'Leave Log'!$F$5:$F$304,"&lt;&gt;Rejected",'Leave Log'!$B$5:$B$304,"SL")&gt;0,"SL",IF(COUNTIFS('Leave Log'!$A$5:$A$304,$A10,'Leave Log'!$C$5:$C$304,"&lt;="&amp;D$5,'Leave Log'!$D$5:$D$304,"&gt;="&amp;D$5,'Leave Log'!$F$5:$F$304,"&lt;&gt;Rejected",'Leave Log'!$B$5:$B$304,"CL")&gt;0,"CL",IF(COUNTIFS('Leave Log'!$A$5:$A$304,$A10,'Leave Log'!$C$5:$C$304,"&lt;="&amp;D$5,'Leave Log'!$D$5:$D$304,"&gt;="&amp;D$5,'Leave Log'!$F$5:$F$304,"&lt;&gt;Rejected",'Leave Log'!$B$5:$B$304,"UL")&gt;0,"UL",IF(COUNTIFS('Leave Log'!$A$5:$A$304,$A10,'Leave Log'!$C$5:$C$304,"&lt;="&amp;D$5,'Leave Log'!$D$5:$D$304,"&gt;="&amp;D$5,'Leave Log'!$F$5:$F$304,"&lt;&gt;Rejected",'Leave Log'!$B$5:$B$304,"OT")&gt;0,"OT",""))))))</f>
        <v/>
      </c>
      <c r="E10" s="12" t="str">
        <f aca="false">IF(OR(E$5="",$A10=""),"",IF(COUNTIFS('Leave Log'!$A$5:$A$304,$A10,'Leave Log'!$C$5:$C$304,"&lt;="&amp;E$5,'Leave Log'!$D$5:$D$304,"&gt;="&amp;E$5,'Leave Log'!$F$5:$F$304,"&lt;&gt;Rejected",'Leave Log'!$B$5:$B$304,"AL")&gt;0,"AL",IF(COUNTIFS('Leave Log'!$A$5:$A$304,$A10,'Leave Log'!$C$5:$C$304,"&lt;="&amp;E$5,'Leave Log'!$D$5:$D$304,"&gt;="&amp;E$5,'Leave Log'!$F$5:$F$304,"&lt;&gt;Rejected",'Leave Log'!$B$5:$B$304,"SL")&gt;0,"SL",IF(COUNTIFS('Leave Log'!$A$5:$A$304,$A10,'Leave Log'!$C$5:$C$304,"&lt;="&amp;E$5,'Leave Log'!$D$5:$D$304,"&gt;="&amp;E$5,'Leave Log'!$F$5:$F$304,"&lt;&gt;Rejected",'Leave Log'!$B$5:$B$304,"CL")&gt;0,"CL",IF(COUNTIFS('Leave Log'!$A$5:$A$304,$A10,'Leave Log'!$C$5:$C$304,"&lt;="&amp;E$5,'Leave Log'!$D$5:$D$304,"&gt;="&amp;E$5,'Leave Log'!$F$5:$F$304,"&lt;&gt;Rejected",'Leave Log'!$B$5:$B$304,"UL")&gt;0,"UL",IF(COUNTIFS('Leave Log'!$A$5:$A$304,$A10,'Leave Log'!$C$5:$C$304,"&lt;="&amp;E$5,'Leave Log'!$D$5:$D$304,"&gt;="&amp;E$5,'Leave Log'!$F$5:$F$304,"&lt;&gt;Rejected",'Leave Log'!$B$5:$B$304,"OT")&gt;0,"OT",""))))))</f>
        <v/>
      </c>
      <c r="F10" s="12" t="str">
        <f aca="false">IF(OR(F$5="",$A10=""),"",IF(COUNTIFS('Leave Log'!$A$5:$A$304,$A10,'Leave Log'!$C$5:$C$304,"&lt;="&amp;F$5,'Leave Log'!$D$5:$D$304,"&gt;="&amp;F$5,'Leave Log'!$F$5:$F$304,"&lt;&gt;Rejected",'Leave Log'!$B$5:$B$304,"AL")&gt;0,"AL",IF(COUNTIFS('Leave Log'!$A$5:$A$304,$A10,'Leave Log'!$C$5:$C$304,"&lt;="&amp;F$5,'Leave Log'!$D$5:$D$304,"&gt;="&amp;F$5,'Leave Log'!$F$5:$F$304,"&lt;&gt;Rejected",'Leave Log'!$B$5:$B$304,"SL")&gt;0,"SL",IF(COUNTIFS('Leave Log'!$A$5:$A$304,$A10,'Leave Log'!$C$5:$C$304,"&lt;="&amp;F$5,'Leave Log'!$D$5:$D$304,"&gt;="&amp;F$5,'Leave Log'!$F$5:$F$304,"&lt;&gt;Rejected",'Leave Log'!$B$5:$B$304,"CL")&gt;0,"CL",IF(COUNTIFS('Leave Log'!$A$5:$A$304,$A10,'Leave Log'!$C$5:$C$304,"&lt;="&amp;F$5,'Leave Log'!$D$5:$D$304,"&gt;="&amp;F$5,'Leave Log'!$F$5:$F$304,"&lt;&gt;Rejected",'Leave Log'!$B$5:$B$304,"UL")&gt;0,"UL",IF(COUNTIFS('Leave Log'!$A$5:$A$304,$A10,'Leave Log'!$C$5:$C$304,"&lt;="&amp;F$5,'Leave Log'!$D$5:$D$304,"&gt;="&amp;F$5,'Leave Log'!$F$5:$F$304,"&lt;&gt;Rejected",'Leave Log'!$B$5:$B$304,"OT")&gt;0,"OT",""))))))</f>
        <v/>
      </c>
      <c r="G10" s="12" t="str">
        <f aca="false">IF(OR(G$5="",$A10=""),"",IF(COUNTIFS('Leave Log'!$A$5:$A$304,$A10,'Leave Log'!$C$5:$C$304,"&lt;="&amp;G$5,'Leave Log'!$D$5:$D$304,"&gt;="&amp;G$5,'Leave Log'!$F$5:$F$304,"&lt;&gt;Rejected",'Leave Log'!$B$5:$B$304,"AL")&gt;0,"AL",IF(COUNTIFS('Leave Log'!$A$5:$A$304,$A10,'Leave Log'!$C$5:$C$304,"&lt;="&amp;G$5,'Leave Log'!$D$5:$D$304,"&gt;="&amp;G$5,'Leave Log'!$F$5:$F$304,"&lt;&gt;Rejected",'Leave Log'!$B$5:$B$304,"SL")&gt;0,"SL",IF(COUNTIFS('Leave Log'!$A$5:$A$304,$A10,'Leave Log'!$C$5:$C$304,"&lt;="&amp;G$5,'Leave Log'!$D$5:$D$304,"&gt;="&amp;G$5,'Leave Log'!$F$5:$F$304,"&lt;&gt;Rejected",'Leave Log'!$B$5:$B$304,"CL")&gt;0,"CL",IF(COUNTIFS('Leave Log'!$A$5:$A$304,$A10,'Leave Log'!$C$5:$C$304,"&lt;="&amp;G$5,'Leave Log'!$D$5:$D$304,"&gt;="&amp;G$5,'Leave Log'!$F$5:$F$304,"&lt;&gt;Rejected",'Leave Log'!$B$5:$B$304,"UL")&gt;0,"UL",IF(COUNTIFS('Leave Log'!$A$5:$A$304,$A10,'Leave Log'!$C$5:$C$304,"&lt;="&amp;G$5,'Leave Log'!$D$5:$D$304,"&gt;="&amp;G$5,'Leave Log'!$F$5:$F$304,"&lt;&gt;Rejected",'Leave Log'!$B$5:$B$304,"OT")&gt;0,"OT",""))))))</f>
        <v/>
      </c>
      <c r="H10" s="12" t="str">
        <f aca="false">IF(OR(H$5="",$A10=""),"",IF(COUNTIFS('Leave Log'!$A$5:$A$304,$A10,'Leave Log'!$C$5:$C$304,"&lt;="&amp;H$5,'Leave Log'!$D$5:$D$304,"&gt;="&amp;H$5,'Leave Log'!$F$5:$F$304,"&lt;&gt;Rejected",'Leave Log'!$B$5:$B$304,"AL")&gt;0,"AL",IF(COUNTIFS('Leave Log'!$A$5:$A$304,$A10,'Leave Log'!$C$5:$C$304,"&lt;="&amp;H$5,'Leave Log'!$D$5:$D$304,"&gt;="&amp;H$5,'Leave Log'!$F$5:$F$304,"&lt;&gt;Rejected",'Leave Log'!$B$5:$B$304,"SL")&gt;0,"SL",IF(COUNTIFS('Leave Log'!$A$5:$A$304,$A10,'Leave Log'!$C$5:$C$304,"&lt;="&amp;H$5,'Leave Log'!$D$5:$D$304,"&gt;="&amp;H$5,'Leave Log'!$F$5:$F$304,"&lt;&gt;Rejected",'Leave Log'!$B$5:$B$304,"CL")&gt;0,"CL",IF(COUNTIFS('Leave Log'!$A$5:$A$304,$A10,'Leave Log'!$C$5:$C$304,"&lt;="&amp;H$5,'Leave Log'!$D$5:$D$304,"&gt;="&amp;H$5,'Leave Log'!$F$5:$F$304,"&lt;&gt;Rejected",'Leave Log'!$B$5:$B$304,"UL")&gt;0,"UL",IF(COUNTIFS('Leave Log'!$A$5:$A$304,$A10,'Leave Log'!$C$5:$C$304,"&lt;="&amp;H$5,'Leave Log'!$D$5:$D$304,"&gt;="&amp;H$5,'Leave Log'!$F$5:$F$304,"&lt;&gt;Rejected",'Leave Log'!$B$5:$B$304,"OT")&gt;0,"OT",""))))))</f>
        <v/>
      </c>
      <c r="I10" s="12" t="str">
        <f aca="false">IF(OR(I$5="",$A10=""),"",IF(COUNTIFS('Leave Log'!$A$5:$A$304,$A10,'Leave Log'!$C$5:$C$304,"&lt;="&amp;I$5,'Leave Log'!$D$5:$D$304,"&gt;="&amp;I$5,'Leave Log'!$F$5:$F$304,"&lt;&gt;Rejected",'Leave Log'!$B$5:$B$304,"AL")&gt;0,"AL",IF(COUNTIFS('Leave Log'!$A$5:$A$304,$A10,'Leave Log'!$C$5:$C$304,"&lt;="&amp;I$5,'Leave Log'!$D$5:$D$304,"&gt;="&amp;I$5,'Leave Log'!$F$5:$F$304,"&lt;&gt;Rejected",'Leave Log'!$B$5:$B$304,"SL")&gt;0,"SL",IF(COUNTIFS('Leave Log'!$A$5:$A$304,$A10,'Leave Log'!$C$5:$C$304,"&lt;="&amp;I$5,'Leave Log'!$D$5:$D$304,"&gt;="&amp;I$5,'Leave Log'!$F$5:$F$304,"&lt;&gt;Rejected",'Leave Log'!$B$5:$B$304,"CL")&gt;0,"CL",IF(COUNTIFS('Leave Log'!$A$5:$A$304,$A10,'Leave Log'!$C$5:$C$304,"&lt;="&amp;I$5,'Leave Log'!$D$5:$D$304,"&gt;="&amp;I$5,'Leave Log'!$F$5:$F$304,"&lt;&gt;Rejected",'Leave Log'!$B$5:$B$304,"UL")&gt;0,"UL",IF(COUNTIFS('Leave Log'!$A$5:$A$304,$A10,'Leave Log'!$C$5:$C$304,"&lt;="&amp;I$5,'Leave Log'!$D$5:$D$304,"&gt;="&amp;I$5,'Leave Log'!$F$5:$F$304,"&lt;&gt;Rejected",'Leave Log'!$B$5:$B$304,"OT")&gt;0,"OT",""))))))</f>
        <v/>
      </c>
      <c r="J10" s="12" t="str">
        <f aca="false">IF(OR(J$5="",$A10=""),"",IF(COUNTIFS('Leave Log'!$A$5:$A$304,$A10,'Leave Log'!$C$5:$C$304,"&lt;="&amp;J$5,'Leave Log'!$D$5:$D$304,"&gt;="&amp;J$5,'Leave Log'!$F$5:$F$304,"&lt;&gt;Rejected",'Leave Log'!$B$5:$B$304,"AL")&gt;0,"AL",IF(COUNTIFS('Leave Log'!$A$5:$A$304,$A10,'Leave Log'!$C$5:$C$304,"&lt;="&amp;J$5,'Leave Log'!$D$5:$D$304,"&gt;="&amp;J$5,'Leave Log'!$F$5:$F$304,"&lt;&gt;Rejected",'Leave Log'!$B$5:$B$304,"SL")&gt;0,"SL",IF(COUNTIFS('Leave Log'!$A$5:$A$304,$A10,'Leave Log'!$C$5:$C$304,"&lt;="&amp;J$5,'Leave Log'!$D$5:$D$304,"&gt;="&amp;J$5,'Leave Log'!$F$5:$F$304,"&lt;&gt;Rejected",'Leave Log'!$B$5:$B$304,"CL")&gt;0,"CL",IF(COUNTIFS('Leave Log'!$A$5:$A$304,$A10,'Leave Log'!$C$5:$C$304,"&lt;="&amp;J$5,'Leave Log'!$D$5:$D$304,"&gt;="&amp;J$5,'Leave Log'!$F$5:$F$304,"&lt;&gt;Rejected",'Leave Log'!$B$5:$B$304,"UL")&gt;0,"UL",IF(COUNTIFS('Leave Log'!$A$5:$A$304,$A10,'Leave Log'!$C$5:$C$304,"&lt;="&amp;J$5,'Leave Log'!$D$5:$D$304,"&gt;="&amp;J$5,'Leave Log'!$F$5:$F$304,"&lt;&gt;Rejected",'Leave Log'!$B$5:$B$304,"OT")&gt;0,"OT",""))))))</f>
        <v/>
      </c>
      <c r="K10" s="12" t="str">
        <f aca="false">IF(OR(K$5="",$A10=""),"",IF(COUNTIFS('Leave Log'!$A$5:$A$304,$A10,'Leave Log'!$C$5:$C$304,"&lt;="&amp;K$5,'Leave Log'!$D$5:$D$304,"&gt;="&amp;K$5,'Leave Log'!$F$5:$F$304,"&lt;&gt;Rejected",'Leave Log'!$B$5:$B$304,"AL")&gt;0,"AL",IF(COUNTIFS('Leave Log'!$A$5:$A$304,$A10,'Leave Log'!$C$5:$C$304,"&lt;="&amp;K$5,'Leave Log'!$D$5:$D$304,"&gt;="&amp;K$5,'Leave Log'!$F$5:$F$304,"&lt;&gt;Rejected",'Leave Log'!$B$5:$B$304,"SL")&gt;0,"SL",IF(COUNTIFS('Leave Log'!$A$5:$A$304,$A10,'Leave Log'!$C$5:$C$304,"&lt;="&amp;K$5,'Leave Log'!$D$5:$D$304,"&gt;="&amp;K$5,'Leave Log'!$F$5:$F$304,"&lt;&gt;Rejected",'Leave Log'!$B$5:$B$304,"CL")&gt;0,"CL",IF(COUNTIFS('Leave Log'!$A$5:$A$304,$A10,'Leave Log'!$C$5:$C$304,"&lt;="&amp;K$5,'Leave Log'!$D$5:$D$304,"&gt;="&amp;K$5,'Leave Log'!$F$5:$F$304,"&lt;&gt;Rejected",'Leave Log'!$B$5:$B$304,"UL")&gt;0,"UL",IF(COUNTIFS('Leave Log'!$A$5:$A$304,$A10,'Leave Log'!$C$5:$C$304,"&lt;="&amp;K$5,'Leave Log'!$D$5:$D$304,"&gt;="&amp;K$5,'Leave Log'!$F$5:$F$304,"&lt;&gt;Rejected",'Leave Log'!$B$5:$B$304,"OT")&gt;0,"OT",""))))))</f>
        <v/>
      </c>
      <c r="L10" s="12" t="str">
        <f aca="false">IF(OR(L$5="",$A10=""),"",IF(COUNTIFS('Leave Log'!$A$5:$A$304,$A10,'Leave Log'!$C$5:$C$304,"&lt;="&amp;L$5,'Leave Log'!$D$5:$D$304,"&gt;="&amp;L$5,'Leave Log'!$F$5:$F$304,"&lt;&gt;Rejected",'Leave Log'!$B$5:$B$304,"AL")&gt;0,"AL",IF(COUNTIFS('Leave Log'!$A$5:$A$304,$A10,'Leave Log'!$C$5:$C$304,"&lt;="&amp;L$5,'Leave Log'!$D$5:$D$304,"&gt;="&amp;L$5,'Leave Log'!$F$5:$F$304,"&lt;&gt;Rejected",'Leave Log'!$B$5:$B$304,"SL")&gt;0,"SL",IF(COUNTIFS('Leave Log'!$A$5:$A$304,$A10,'Leave Log'!$C$5:$C$304,"&lt;="&amp;L$5,'Leave Log'!$D$5:$D$304,"&gt;="&amp;L$5,'Leave Log'!$F$5:$F$304,"&lt;&gt;Rejected",'Leave Log'!$B$5:$B$304,"CL")&gt;0,"CL",IF(COUNTIFS('Leave Log'!$A$5:$A$304,$A10,'Leave Log'!$C$5:$C$304,"&lt;="&amp;L$5,'Leave Log'!$D$5:$D$304,"&gt;="&amp;L$5,'Leave Log'!$F$5:$F$304,"&lt;&gt;Rejected",'Leave Log'!$B$5:$B$304,"UL")&gt;0,"UL",IF(COUNTIFS('Leave Log'!$A$5:$A$304,$A10,'Leave Log'!$C$5:$C$304,"&lt;="&amp;L$5,'Leave Log'!$D$5:$D$304,"&gt;="&amp;L$5,'Leave Log'!$F$5:$F$304,"&lt;&gt;Rejected",'Leave Log'!$B$5:$B$304,"OT")&gt;0,"OT",""))))))</f>
        <v/>
      </c>
      <c r="M10" s="12" t="str">
        <f aca="false">IF(OR(M$5="",$A10=""),"",IF(COUNTIFS('Leave Log'!$A$5:$A$304,$A10,'Leave Log'!$C$5:$C$304,"&lt;="&amp;M$5,'Leave Log'!$D$5:$D$304,"&gt;="&amp;M$5,'Leave Log'!$F$5:$F$304,"&lt;&gt;Rejected",'Leave Log'!$B$5:$B$304,"AL")&gt;0,"AL",IF(COUNTIFS('Leave Log'!$A$5:$A$304,$A10,'Leave Log'!$C$5:$C$304,"&lt;="&amp;M$5,'Leave Log'!$D$5:$D$304,"&gt;="&amp;M$5,'Leave Log'!$F$5:$F$304,"&lt;&gt;Rejected",'Leave Log'!$B$5:$B$304,"SL")&gt;0,"SL",IF(COUNTIFS('Leave Log'!$A$5:$A$304,$A10,'Leave Log'!$C$5:$C$304,"&lt;="&amp;M$5,'Leave Log'!$D$5:$D$304,"&gt;="&amp;M$5,'Leave Log'!$F$5:$F$304,"&lt;&gt;Rejected",'Leave Log'!$B$5:$B$304,"CL")&gt;0,"CL",IF(COUNTIFS('Leave Log'!$A$5:$A$304,$A10,'Leave Log'!$C$5:$C$304,"&lt;="&amp;M$5,'Leave Log'!$D$5:$D$304,"&gt;="&amp;M$5,'Leave Log'!$F$5:$F$304,"&lt;&gt;Rejected",'Leave Log'!$B$5:$B$304,"UL")&gt;0,"UL",IF(COUNTIFS('Leave Log'!$A$5:$A$304,$A10,'Leave Log'!$C$5:$C$304,"&lt;="&amp;M$5,'Leave Log'!$D$5:$D$304,"&gt;="&amp;M$5,'Leave Log'!$F$5:$F$304,"&lt;&gt;Rejected",'Leave Log'!$B$5:$B$304,"OT")&gt;0,"OT",""))))))</f>
        <v/>
      </c>
      <c r="N10" s="12" t="str">
        <f aca="false">IF(OR(N$5="",$A10=""),"",IF(COUNTIFS('Leave Log'!$A$5:$A$304,$A10,'Leave Log'!$C$5:$C$304,"&lt;="&amp;N$5,'Leave Log'!$D$5:$D$304,"&gt;="&amp;N$5,'Leave Log'!$F$5:$F$304,"&lt;&gt;Rejected",'Leave Log'!$B$5:$B$304,"AL")&gt;0,"AL",IF(COUNTIFS('Leave Log'!$A$5:$A$304,$A10,'Leave Log'!$C$5:$C$304,"&lt;="&amp;N$5,'Leave Log'!$D$5:$D$304,"&gt;="&amp;N$5,'Leave Log'!$F$5:$F$304,"&lt;&gt;Rejected",'Leave Log'!$B$5:$B$304,"SL")&gt;0,"SL",IF(COUNTIFS('Leave Log'!$A$5:$A$304,$A10,'Leave Log'!$C$5:$C$304,"&lt;="&amp;N$5,'Leave Log'!$D$5:$D$304,"&gt;="&amp;N$5,'Leave Log'!$F$5:$F$304,"&lt;&gt;Rejected",'Leave Log'!$B$5:$B$304,"CL")&gt;0,"CL",IF(COUNTIFS('Leave Log'!$A$5:$A$304,$A10,'Leave Log'!$C$5:$C$304,"&lt;="&amp;N$5,'Leave Log'!$D$5:$D$304,"&gt;="&amp;N$5,'Leave Log'!$F$5:$F$304,"&lt;&gt;Rejected",'Leave Log'!$B$5:$B$304,"UL")&gt;0,"UL",IF(COUNTIFS('Leave Log'!$A$5:$A$304,$A10,'Leave Log'!$C$5:$C$304,"&lt;="&amp;N$5,'Leave Log'!$D$5:$D$304,"&gt;="&amp;N$5,'Leave Log'!$F$5:$F$304,"&lt;&gt;Rejected",'Leave Log'!$B$5:$B$304,"OT")&gt;0,"OT",""))))))</f>
        <v/>
      </c>
      <c r="O10" s="12" t="str">
        <f aca="false">IF(OR(O$5="",$A10=""),"",IF(COUNTIFS('Leave Log'!$A$5:$A$304,$A10,'Leave Log'!$C$5:$C$304,"&lt;="&amp;O$5,'Leave Log'!$D$5:$D$304,"&gt;="&amp;O$5,'Leave Log'!$F$5:$F$304,"&lt;&gt;Rejected",'Leave Log'!$B$5:$B$304,"AL")&gt;0,"AL",IF(COUNTIFS('Leave Log'!$A$5:$A$304,$A10,'Leave Log'!$C$5:$C$304,"&lt;="&amp;O$5,'Leave Log'!$D$5:$D$304,"&gt;="&amp;O$5,'Leave Log'!$F$5:$F$304,"&lt;&gt;Rejected",'Leave Log'!$B$5:$B$304,"SL")&gt;0,"SL",IF(COUNTIFS('Leave Log'!$A$5:$A$304,$A10,'Leave Log'!$C$5:$C$304,"&lt;="&amp;O$5,'Leave Log'!$D$5:$D$304,"&gt;="&amp;O$5,'Leave Log'!$F$5:$F$304,"&lt;&gt;Rejected",'Leave Log'!$B$5:$B$304,"CL")&gt;0,"CL",IF(COUNTIFS('Leave Log'!$A$5:$A$304,$A10,'Leave Log'!$C$5:$C$304,"&lt;="&amp;O$5,'Leave Log'!$D$5:$D$304,"&gt;="&amp;O$5,'Leave Log'!$F$5:$F$304,"&lt;&gt;Rejected",'Leave Log'!$B$5:$B$304,"UL")&gt;0,"UL",IF(COUNTIFS('Leave Log'!$A$5:$A$304,$A10,'Leave Log'!$C$5:$C$304,"&lt;="&amp;O$5,'Leave Log'!$D$5:$D$304,"&gt;="&amp;O$5,'Leave Log'!$F$5:$F$304,"&lt;&gt;Rejected",'Leave Log'!$B$5:$B$304,"OT")&gt;0,"OT",""))))))</f>
        <v/>
      </c>
      <c r="P10" s="12" t="str">
        <f aca="false">IF(OR(P$5="",$A10=""),"",IF(COUNTIFS('Leave Log'!$A$5:$A$304,$A10,'Leave Log'!$C$5:$C$304,"&lt;="&amp;P$5,'Leave Log'!$D$5:$D$304,"&gt;="&amp;P$5,'Leave Log'!$F$5:$F$304,"&lt;&gt;Rejected",'Leave Log'!$B$5:$B$304,"AL")&gt;0,"AL",IF(COUNTIFS('Leave Log'!$A$5:$A$304,$A10,'Leave Log'!$C$5:$C$304,"&lt;="&amp;P$5,'Leave Log'!$D$5:$D$304,"&gt;="&amp;P$5,'Leave Log'!$F$5:$F$304,"&lt;&gt;Rejected",'Leave Log'!$B$5:$B$304,"SL")&gt;0,"SL",IF(COUNTIFS('Leave Log'!$A$5:$A$304,$A10,'Leave Log'!$C$5:$C$304,"&lt;="&amp;P$5,'Leave Log'!$D$5:$D$304,"&gt;="&amp;P$5,'Leave Log'!$F$5:$F$304,"&lt;&gt;Rejected",'Leave Log'!$B$5:$B$304,"CL")&gt;0,"CL",IF(COUNTIFS('Leave Log'!$A$5:$A$304,$A10,'Leave Log'!$C$5:$C$304,"&lt;="&amp;P$5,'Leave Log'!$D$5:$D$304,"&gt;="&amp;P$5,'Leave Log'!$F$5:$F$304,"&lt;&gt;Rejected",'Leave Log'!$B$5:$B$304,"UL")&gt;0,"UL",IF(COUNTIFS('Leave Log'!$A$5:$A$304,$A10,'Leave Log'!$C$5:$C$304,"&lt;="&amp;P$5,'Leave Log'!$D$5:$D$304,"&gt;="&amp;P$5,'Leave Log'!$F$5:$F$304,"&lt;&gt;Rejected",'Leave Log'!$B$5:$B$304,"OT")&gt;0,"OT",""))))))</f>
        <v/>
      </c>
      <c r="Q10" s="12" t="str">
        <f aca="false">IF(OR(Q$5="",$A10=""),"",IF(COUNTIFS('Leave Log'!$A$5:$A$304,$A10,'Leave Log'!$C$5:$C$304,"&lt;="&amp;Q$5,'Leave Log'!$D$5:$D$304,"&gt;="&amp;Q$5,'Leave Log'!$F$5:$F$304,"&lt;&gt;Rejected",'Leave Log'!$B$5:$B$304,"AL")&gt;0,"AL",IF(COUNTIFS('Leave Log'!$A$5:$A$304,$A10,'Leave Log'!$C$5:$C$304,"&lt;="&amp;Q$5,'Leave Log'!$D$5:$D$304,"&gt;="&amp;Q$5,'Leave Log'!$F$5:$F$304,"&lt;&gt;Rejected",'Leave Log'!$B$5:$B$304,"SL")&gt;0,"SL",IF(COUNTIFS('Leave Log'!$A$5:$A$304,$A10,'Leave Log'!$C$5:$C$304,"&lt;="&amp;Q$5,'Leave Log'!$D$5:$D$304,"&gt;="&amp;Q$5,'Leave Log'!$F$5:$F$304,"&lt;&gt;Rejected",'Leave Log'!$B$5:$B$304,"CL")&gt;0,"CL",IF(COUNTIFS('Leave Log'!$A$5:$A$304,$A10,'Leave Log'!$C$5:$C$304,"&lt;="&amp;Q$5,'Leave Log'!$D$5:$D$304,"&gt;="&amp;Q$5,'Leave Log'!$F$5:$F$304,"&lt;&gt;Rejected",'Leave Log'!$B$5:$B$304,"UL")&gt;0,"UL",IF(COUNTIFS('Leave Log'!$A$5:$A$304,$A10,'Leave Log'!$C$5:$C$304,"&lt;="&amp;Q$5,'Leave Log'!$D$5:$D$304,"&gt;="&amp;Q$5,'Leave Log'!$F$5:$F$304,"&lt;&gt;Rejected",'Leave Log'!$B$5:$B$304,"OT")&gt;0,"OT",""))))))</f>
        <v/>
      </c>
      <c r="R10" s="12" t="str">
        <f aca="false">IF(OR(R$5="",$A10=""),"",IF(COUNTIFS('Leave Log'!$A$5:$A$304,$A10,'Leave Log'!$C$5:$C$304,"&lt;="&amp;R$5,'Leave Log'!$D$5:$D$304,"&gt;="&amp;R$5,'Leave Log'!$F$5:$F$304,"&lt;&gt;Rejected",'Leave Log'!$B$5:$B$304,"AL")&gt;0,"AL",IF(COUNTIFS('Leave Log'!$A$5:$A$304,$A10,'Leave Log'!$C$5:$C$304,"&lt;="&amp;R$5,'Leave Log'!$D$5:$D$304,"&gt;="&amp;R$5,'Leave Log'!$F$5:$F$304,"&lt;&gt;Rejected",'Leave Log'!$B$5:$B$304,"SL")&gt;0,"SL",IF(COUNTIFS('Leave Log'!$A$5:$A$304,$A10,'Leave Log'!$C$5:$C$304,"&lt;="&amp;R$5,'Leave Log'!$D$5:$D$304,"&gt;="&amp;R$5,'Leave Log'!$F$5:$F$304,"&lt;&gt;Rejected",'Leave Log'!$B$5:$B$304,"CL")&gt;0,"CL",IF(COUNTIFS('Leave Log'!$A$5:$A$304,$A10,'Leave Log'!$C$5:$C$304,"&lt;="&amp;R$5,'Leave Log'!$D$5:$D$304,"&gt;="&amp;R$5,'Leave Log'!$F$5:$F$304,"&lt;&gt;Rejected",'Leave Log'!$B$5:$B$304,"UL")&gt;0,"UL",IF(COUNTIFS('Leave Log'!$A$5:$A$304,$A10,'Leave Log'!$C$5:$C$304,"&lt;="&amp;R$5,'Leave Log'!$D$5:$D$304,"&gt;="&amp;R$5,'Leave Log'!$F$5:$F$304,"&lt;&gt;Rejected",'Leave Log'!$B$5:$B$304,"OT")&gt;0,"OT",""))))))</f>
        <v/>
      </c>
      <c r="S10" s="12" t="str">
        <f aca="false">IF(OR(S$5="",$A10=""),"",IF(COUNTIFS('Leave Log'!$A$5:$A$304,$A10,'Leave Log'!$C$5:$C$304,"&lt;="&amp;S$5,'Leave Log'!$D$5:$D$304,"&gt;="&amp;S$5,'Leave Log'!$F$5:$F$304,"&lt;&gt;Rejected",'Leave Log'!$B$5:$B$304,"AL")&gt;0,"AL",IF(COUNTIFS('Leave Log'!$A$5:$A$304,$A10,'Leave Log'!$C$5:$C$304,"&lt;="&amp;S$5,'Leave Log'!$D$5:$D$304,"&gt;="&amp;S$5,'Leave Log'!$F$5:$F$304,"&lt;&gt;Rejected",'Leave Log'!$B$5:$B$304,"SL")&gt;0,"SL",IF(COUNTIFS('Leave Log'!$A$5:$A$304,$A10,'Leave Log'!$C$5:$C$304,"&lt;="&amp;S$5,'Leave Log'!$D$5:$D$304,"&gt;="&amp;S$5,'Leave Log'!$F$5:$F$304,"&lt;&gt;Rejected",'Leave Log'!$B$5:$B$304,"CL")&gt;0,"CL",IF(COUNTIFS('Leave Log'!$A$5:$A$304,$A10,'Leave Log'!$C$5:$C$304,"&lt;="&amp;S$5,'Leave Log'!$D$5:$D$304,"&gt;="&amp;S$5,'Leave Log'!$F$5:$F$304,"&lt;&gt;Rejected",'Leave Log'!$B$5:$B$304,"UL")&gt;0,"UL",IF(COUNTIFS('Leave Log'!$A$5:$A$304,$A10,'Leave Log'!$C$5:$C$304,"&lt;="&amp;S$5,'Leave Log'!$D$5:$D$304,"&gt;="&amp;S$5,'Leave Log'!$F$5:$F$304,"&lt;&gt;Rejected",'Leave Log'!$B$5:$B$304,"OT")&gt;0,"OT",""))))))</f>
        <v/>
      </c>
      <c r="T10" s="12" t="str">
        <f aca="false">IF(OR(T$5="",$A10=""),"",IF(COUNTIFS('Leave Log'!$A$5:$A$304,$A10,'Leave Log'!$C$5:$C$304,"&lt;="&amp;T$5,'Leave Log'!$D$5:$D$304,"&gt;="&amp;T$5,'Leave Log'!$F$5:$F$304,"&lt;&gt;Rejected",'Leave Log'!$B$5:$B$304,"AL")&gt;0,"AL",IF(COUNTIFS('Leave Log'!$A$5:$A$304,$A10,'Leave Log'!$C$5:$C$304,"&lt;="&amp;T$5,'Leave Log'!$D$5:$D$304,"&gt;="&amp;T$5,'Leave Log'!$F$5:$F$304,"&lt;&gt;Rejected",'Leave Log'!$B$5:$B$304,"SL")&gt;0,"SL",IF(COUNTIFS('Leave Log'!$A$5:$A$304,$A10,'Leave Log'!$C$5:$C$304,"&lt;="&amp;T$5,'Leave Log'!$D$5:$D$304,"&gt;="&amp;T$5,'Leave Log'!$F$5:$F$304,"&lt;&gt;Rejected",'Leave Log'!$B$5:$B$304,"CL")&gt;0,"CL",IF(COUNTIFS('Leave Log'!$A$5:$A$304,$A10,'Leave Log'!$C$5:$C$304,"&lt;="&amp;T$5,'Leave Log'!$D$5:$D$304,"&gt;="&amp;T$5,'Leave Log'!$F$5:$F$304,"&lt;&gt;Rejected",'Leave Log'!$B$5:$B$304,"UL")&gt;0,"UL",IF(COUNTIFS('Leave Log'!$A$5:$A$304,$A10,'Leave Log'!$C$5:$C$304,"&lt;="&amp;T$5,'Leave Log'!$D$5:$D$304,"&gt;="&amp;T$5,'Leave Log'!$F$5:$F$304,"&lt;&gt;Rejected",'Leave Log'!$B$5:$B$304,"OT")&gt;0,"OT",""))))))</f>
        <v/>
      </c>
      <c r="U10" s="12" t="str">
        <f aca="false">IF(OR(U$5="",$A10=""),"",IF(COUNTIFS('Leave Log'!$A$5:$A$304,$A10,'Leave Log'!$C$5:$C$304,"&lt;="&amp;U$5,'Leave Log'!$D$5:$D$304,"&gt;="&amp;U$5,'Leave Log'!$F$5:$F$304,"&lt;&gt;Rejected",'Leave Log'!$B$5:$B$304,"AL")&gt;0,"AL",IF(COUNTIFS('Leave Log'!$A$5:$A$304,$A10,'Leave Log'!$C$5:$C$304,"&lt;="&amp;U$5,'Leave Log'!$D$5:$D$304,"&gt;="&amp;U$5,'Leave Log'!$F$5:$F$304,"&lt;&gt;Rejected",'Leave Log'!$B$5:$B$304,"SL")&gt;0,"SL",IF(COUNTIFS('Leave Log'!$A$5:$A$304,$A10,'Leave Log'!$C$5:$C$304,"&lt;="&amp;U$5,'Leave Log'!$D$5:$D$304,"&gt;="&amp;U$5,'Leave Log'!$F$5:$F$304,"&lt;&gt;Rejected",'Leave Log'!$B$5:$B$304,"CL")&gt;0,"CL",IF(COUNTIFS('Leave Log'!$A$5:$A$304,$A10,'Leave Log'!$C$5:$C$304,"&lt;="&amp;U$5,'Leave Log'!$D$5:$D$304,"&gt;="&amp;U$5,'Leave Log'!$F$5:$F$304,"&lt;&gt;Rejected",'Leave Log'!$B$5:$B$304,"UL")&gt;0,"UL",IF(COUNTIFS('Leave Log'!$A$5:$A$304,$A10,'Leave Log'!$C$5:$C$304,"&lt;="&amp;U$5,'Leave Log'!$D$5:$D$304,"&gt;="&amp;U$5,'Leave Log'!$F$5:$F$304,"&lt;&gt;Rejected",'Leave Log'!$B$5:$B$304,"OT")&gt;0,"OT",""))))))</f>
        <v/>
      </c>
      <c r="V10" s="12" t="str">
        <f aca="false">IF(OR(V$5="",$A10=""),"",IF(COUNTIFS('Leave Log'!$A$5:$A$304,$A10,'Leave Log'!$C$5:$C$304,"&lt;="&amp;V$5,'Leave Log'!$D$5:$D$304,"&gt;="&amp;V$5,'Leave Log'!$F$5:$F$304,"&lt;&gt;Rejected",'Leave Log'!$B$5:$B$304,"AL")&gt;0,"AL",IF(COUNTIFS('Leave Log'!$A$5:$A$304,$A10,'Leave Log'!$C$5:$C$304,"&lt;="&amp;V$5,'Leave Log'!$D$5:$D$304,"&gt;="&amp;V$5,'Leave Log'!$F$5:$F$304,"&lt;&gt;Rejected",'Leave Log'!$B$5:$B$304,"SL")&gt;0,"SL",IF(COUNTIFS('Leave Log'!$A$5:$A$304,$A10,'Leave Log'!$C$5:$C$304,"&lt;="&amp;V$5,'Leave Log'!$D$5:$D$304,"&gt;="&amp;V$5,'Leave Log'!$F$5:$F$304,"&lt;&gt;Rejected",'Leave Log'!$B$5:$B$304,"CL")&gt;0,"CL",IF(COUNTIFS('Leave Log'!$A$5:$A$304,$A10,'Leave Log'!$C$5:$C$304,"&lt;="&amp;V$5,'Leave Log'!$D$5:$D$304,"&gt;="&amp;V$5,'Leave Log'!$F$5:$F$304,"&lt;&gt;Rejected",'Leave Log'!$B$5:$B$304,"UL")&gt;0,"UL",IF(COUNTIFS('Leave Log'!$A$5:$A$304,$A10,'Leave Log'!$C$5:$C$304,"&lt;="&amp;V$5,'Leave Log'!$D$5:$D$304,"&gt;="&amp;V$5,'Leave Log'!$F$5:$F$304,"&lt;&gt;Rejected",'Leave Log'!$B$5:$B$304,"OT")&gt;0,"OT",""))))))</f>
        <v/>
      </c>
      <c r="W10" s="12" t="str">
        <f aca="false">IF(OR(W$5="",$A10=""),"",IF(COUNTIFS('Leave Log'!$A$5:$A$304,$A10,'Leave Log'!$C$5:$C$304,"&lt;="&amp;W$5,'Leave Log'!$D$5:$D$304,"&gt;="&amp;W$5,'Leave Log'!$F$5:$F$304,"&lt;&gt;Rejected",'Leave Log'!$B$5:$B$304,"AL")&gt;0,"AL",IF(COUNTIFS('Leave Log'!$A$5:$A$304,$A10,'Leave Log'!$C$5:$C$304,"&lt;="&amp;W$5,'Leave Log'!$D$5:$D$304,"&gt;="&amp;W$5,'Leave Log'!$F$5:$F$304,"&lt;&gt;Rejected",'Leave Log'!$B$5:$B$304,"SL")&gt;0,"SL",IF(COUNTIFS('Leave Log'!$A$5:$A$304,$A10,'Leave Log'!$C$5:$C$304,"&lt;="&amp;W$5,'Leave Log'!$D$5:$D$304,"&gt;="&amp;W$5,'Leave Log'!$F$5:$F$304,"&lt;&gt;Rejected",'Leave Log'!$B$5:$B$304,"CL")&gt;0,"CL",IF(COUNTIFS('Leave Log'!$A$5:$A$304,$A10,'Leave Log'!$C$5:$C$304,"&lt;="&amp;W$5,'Leave Log'!$D$5:$D$304,"&gt;="&amp;W$5,'Leave Log'!$F$5:$F$304,"&lt;&gt;Rejected",'Leave Log'!$B$5:$B$304,"UL")&gt;0,"UL",IF(COUNTIFS('Leave Log'!$A$5:$A$304,$A10,'Leave Log'!$C$5:$C$304,"&lt;="&amp;W$5,'Leave Log'!$D$5:$D$304,"&gt;="&amp;W$5,'Leave Log'!$F$5:$F$304,"&lt;&gt;Rejected",'Leave Log'!$B$5:$B$304,"OT")&gt;0,"OT",""))))))</f>
        <v/>
      </c>
      <c r="X10" s="12" t="str">
        <f aca="false">IF(OR(X$5="",$A10=""),"",IF(COUNTIFS('Leave Log'!$A$5:$A$304,$A10,'Leave Log'!$C$5:$C$304,"&lt;="&amp;X$5,'Leave Log'!$D$5:$D$304,"&gt;="&amp;X$5,'Leave Log'!$F$5:$F$304,"&lt;&gt;Rejected",'Leave Log'!$B$5:$B$304,"AL")&gt;0,"AL",IF(COUNTIFS('Leave Log'!$A$5:$A$304,$A10,'Leave Log'!$C$5:$C$304,"&lt;="&amp;X$5,'Leave Log'!$D$5:$D$304,"&gt;="&amp;X$5,'Leave Log'!$F$5:$F$304,"&lt;&gt;Rejected",'Leave Log'!$B$5:$B$304,"SL")&gt;0,"SL",IF(COUNTIFS('Leave Log'!$A$5:$A$304,$A10,'Leave Log'!$C$5:$C$304,"&lt;="&amp;X$5,'Leave Log'!$D$5:$D$304,"&gt;="&amp;X$5,'Leave Log'!$F$5:$F$304,"&lt;&gt;Rejected",'Leave Log'!$B$5:$B$304,"CL")&gt;0,"CL",IF(COUNTIFS('Leave Log'!$A$5:$A$304,$A10,'Leave Log'!$C$5:$C$304,"&lt;="&amp;X$5,'Leave Log'!$D$5:$D$304,"&gt;="&amp;X$5,'Leave Log'!$F$5:$F$304,"&lt;&gt;Rejected",'Leave Log'!$B$5:$B$304,"UL")&gt;0,"UL",IF(COUNTIFS('Leave Log'!$A$5:$A$304,$A10,'Leave Log'!$C$5:$C$304,"&lt;="&amp;X$5,'Leave Log'!$D$5:$D$304,"&gt;="&amp;X$5,'Leave Log'!$F$5:$F$304,"&lt;&gt;Rejected",'Leave Log'!$B$5:$B$304,"OT")&gt;0,"OT",""))))))</f>
        <v/>
      </c>
      <c r="Y10" s="12" t="str">
        <f aca="false">IF(OR(Y$5="",$A10=""),"",IF(COUNTIFS('Leave Log'!$A$5:$A$304,$A10,'Leave Log'!$C$5:$C$304,"&lt;="&amp;Y$5,'Leave Log'!$D$5:$D$304,"&gt;="&amp;Y$5,'Leave Log'!$F$5:$F$304,"&lt;&gt;Rejected",'Leave Log'!$B$5:$B$304,"AL")&gt;0,"AL",IF(COUNTIFS('Leave Log'!$A$5:$A$304,$A10,'Leave Log'!$C$5:$C$304,"&lt;="&amp;Y$5,'Leave Log'!$D$5:$D$304,"&gt;="&amp;Y$5,'Leave Log'!$F$5:$F$304,"&lt;&gt;Rejected",'Leave Log'!$B$5:$B$304,"SL")&gt;0,"SL",IF(COUNTIFS('Leave Log'!$A$5:$A$304,$A10,'Leave Log'!$C$5:$C$304,"&lt;="&amp;Y$5,'Leave Log'!$D$5:$D$304,"&gt;="&amp;Y$5,'Leave Log'!$F$5:$F$304,"&lt;&gt;Rejected",'Leave Log'!$B$5:$B$304,"CL")&gt;0,"CL",IF(COUNTIFS('Leave Log'!$A$5:$A$304,$A10,'Leave Log'!$C$5:$C$304,"&lt;="&amp;Y$5,'Leave Log'!$D$5:$D$304,"&gt;="&amp;Y$5,'Leave Log'!$F$5:$F$304,"&lt;&gt;Rejected",'Leave Log'!$B$5:$B$304,"UL")&gt;0,"UL",IF(COUNTIFS('Leave Log'!$A$5:$A$304,$A10,'Leave Log'!$C$5:$C$304,"&lt;="&amp;Y$5,'Leave Log'!$D$5:$D$304,"&gt;="&amp;Y$5,'Leave Log'!$F$5:$F$304,"&lt;&gt;Rejected",'Leave Log'!$B$5:$B$304,"OT")&gt;0,"OT",""))))))</f>
        <v/>
      </c>
      <c r="Z10" s="12" t="str">
        <f aca="false">IF(OR(Z$5="",$A10=""),"",IF(COUNTIFS('Leave Log'!$A$5:$A$304,$A10,'Leave Log'!$C$5:$C$304,"&lt;="&amp;Z$5,'Leave Log'!$D$5:$D$304,"&gt;="&amp;Z$5,'Leave Log'!$F$5:$F$304,"&lt;&gt;Rejected",'Leave Log'!$B$5:$B$304,"AL")&gt;0,"AL",IF(COUNTIFS('Leave Log'!$A$5:$A$304,$A10,'Leave Log'!$C$5:$C$304,"&lt;="&amp;Z$5,'Leave Log'!$D$5:$D$304,"&gt;="&amp;Z$5,'Leave Log'!$F$5:$F$304,"&lt;&gt;Rejected",'Leave Log'!$B$5:$B$304,"SL")&gt;0,"SL",IF(COUNTIFS('Leave Log'!$A$5:$A$304,$A10,'Leave Log'!$C$5:$C$304,"&lt;="&amp;Z$5,'Leave Log'!$D$5:$D$304,"&gt;="&amp;Z$5,'Leave Log'!$F$5:$F$304,"&lt;&gt;Rejected",'Leave Log'!$B$5:$B$304,"CL")&gt;0,"CL",IF(COUNTIFS('Leave Log'!$A$5:$A$304,$A10,'Leave Log'!$C$5:$C$304,"&lt;="&amp;Z$5,'Leave Log'!$D$5:$D$304,"&gt;="&amp;Z$5,'Leave Log'!$F$5:$F$304,"&lt;&gt;Rejected",'Leave Log'!$B$5:$B$304,"UL")&gt;0,"UL",IF(COUNTIFS('Leave Log'!$A$5:$A$304,$A10,'Leave Log'!$C$5:$C$304,"&lt;="&amp;Z$5,'Leave Log'!$D$5:$D$304,"&gt;="&amp;Z$5,'Leave Log'!$F$5:$F$304,"&lt;&gt;Rejected",'Leave Log'!$B$5:$B$304,"OT")&gt;0,"OT",""))))))</f>
        <v/>
      </c>
      <c r="AA10" s="12" t="str">
        <f aca="false">IF(OR(AA$5="",$A10=""),"",IF(COUNTIFS('Leave Log'!$A$5:$A$304,$A10,'Leave Log'!$C$5:$C$304,"&lt;="&amp;AA$5,'Leave Log'!$D$5:$D$304,"&gt;="&amp;AA$5,'Leave Log'!$F$5:$F$304,"&lt;&gt;Rejected",'Leave Log'!$B$5:$B$304,"AL")&gt;0,"AL",IF(COUNTIFS('Leave Log'!$A$5:$A$304,$A10,'Leave Log'!$C$5:$C$304,"&lt;="&amp;AA$5,'Leave Log'!$D$5:$D$304,"&gt;="&amp;AA$5,'Leave Log'!$F$5:$F$304,"&lt;&gt;Rejected",'Leave Log'!$B$5:$B$304,"SL")&gt;0,"SL",IF(COUNTIFS('Leave Log'!$A$5:$A$304,$A10,'Leave Log'!$C$5:$C$304,"&lt;="&amp;AA$5,'Leave Log'!$D$5:$D$304,"&gt;="&amp;AA$5,'Leave Log'!$F$5:$F$304,"&lt;&gt;Rejected",'Leave Log'!$B$5:$B$304,"CL")&gt;0,"CL",IF(COUNTIFS('Leave Log'!$A$5:$A$304,$A10,'Leave Log'!$C$5:$C$304,"&lt;="&amp;AA$5,'Leave Log'!$D$5:$D$304,"&gt;="&amp;AA$5,'Leave Log'!$F$5:$F$304,"&lt;&gt;Rejected",'Leave Log'!$B$5:$B$304,"UL")&gt;0,"UL",IF(COUNTIFS('Leave Log'!$A$5:$A$304,$A10,'Leave Log'!$C$5:$C$304,"&lt;="&amp;AA$5,'Leave Log'!$D$5:$D$304,"&gt;="&amp;AA$5,'Leave Log'!$F$5:$F$304,"&lt;&gt;Rejected",'Leave Log'!$B$5:$B$304,"OT")&gt;0,"OT",""))))))</f>
        <v/>
      </c>
      <c r="AB10" s="12" t="str">
        <f aca="false">IF(OR(AB$5="",$A10=""),"",IF(COUNTIFS('Leave Log'!$A$5:$A$304,$A10,'Leave Log'!$C$5:$C$304,"&lt;="&amp;AB$5,'Leave Log'!$D$5:$D$304,"&gt;="&amp;AB$5,'Leave Log'!$F$5:$F$304,"&lt;&gt;Rejected",'Leave Log'!$B$5:$B$304,"AL")&gt;0,"AL",IF(COUNTIFS('Leave Log'!$A$5:$A$304,$A10,'Leave Log'!$C$5:$C$304,"&lt;="&amp;AB$5,'Leave Log'!$D$5:$D$304,"&gt;="&amp;AB$5,'Leave Log'!$F$5:$F$304,"&lt;&gt;Rejected",'Leave Log'!$B$5:$B$304,"SL")&gt;0,"SL",IF(COUNTIFS('Leave Log'!$A$5:$A$304,$A10,'Leave Log'!$C$5:$C$304,"&lt;="&amp;AB$5,'Leave Log'!$D$5:$D$304,"&gt;="&amp;AB$5,'Leave Log'!$F$5:$F$304,"&lt;&gt;Rejected",'Leave Log'!$B$5:$B$304,"CL")&gt;0,"CL",IF(COUNTIFS('Leave Log'!$A$5:$A$304,$A10,'Leave Log'!$C$5:$C$304,"&lt;="&amp;AB$5,'Leave Log'!$D$5:$D$304,"&gt;="&amp;AB$5,'Leave Log'!$F$5:$F$304,"&lt;&gt;Rejected",'Leave Log'!$B$5:$B$304,"UL")&gt;0,"UL",IF(COUNTIFS('Leave Log'!$A$5:$A$304,$A10,'Leave Log'!$C$5:$C$304,"&lt;="&amp;AB$5,'Leave Log'!$D$5:$D$304,"&gt;="&amp;AB$5,'Leave Log'!$F$5:$F$304,"&lt;&gt;Rejected",'Leave Log'!$B$5:$B$304,"OT")&gt;0,"OT",""))))))</f>
        <v/>
      </c>
      <c r="AC10" s="12" t="str">
        <f aca="false">IF(OR(AC$5="",$A10=""),"",IF(COUNTIFS('Leave Log'!$A$5:$A$304,$A10,'Leave Log'!$C$5:$C$304,"&lt;="&amp;AC$5,'Leave Log'!$D$5:$D$304,"&gt;="&amp;AC$5,'Leave Log'!$F$5:$F$304,"&lt;&gt;Rejected",'Leave Log'!$B$5:$B$304,"AL")&gt;0,"AL",IF(COUNTIFS('Leave Log'!$A$5:$A$304,$A10,'Leave Log'!$C$5:$C$304,"&lt;="&amp;AC$5,'Leave Log'!$D$5:$D$304,"&gt;="&amp;AC$5,'Leave Log'!$F$5:$F$304,"&lt;&gt;Rejected",'Leave Log'!$B$5:$B$304,"SL")&gt;0,"SL",IF(COUNTIFS('Leave Log'!$A$5:$A$304,$A10,'Leave Log'!$C$5:$C$304,"&lt;="&amp;AC$5,'Leave Log'!$D$5:$D$304,"&gt;="&amp;AC$5,'Leave Log'!$F$5:$F$304,"&lt;&gt;Rejected",'Leave Log'!$B$5:$B$304,"CL")&gt;0,"CL",IF(COUNTIFS('Leave Log'!$A$5:$A$304,$A10,'Leave Log'!$C$5:$C$304,"&lt;="&amp;AC$5,'Leave Log'!$D$5:$D$304,"&gt;="&amp;AC$5,'Leave Log'!$F$5:$F$304,"&lt;&gt;Rejected",'Leave Log'!$B$5:$B$304,"UL")&gt;0,"UL",IF(COUNTIFS('Leave Log'!$A$5:$A$304,$A10,'Leave Log'!$C$5:$C$304,"&lt;="&amp;AC$5,'Leave Log'!$D$5:$D$304,"&gt;="&amp;AC$5,'Leave Log'!$F$5:$F$304,"&lt;&gt;Rejected",'Leave Log'!$B$5:$B$304,"OT")&gt;0,"OT",""))))))</f>
        <v/>
      </c>
      <c r="AD10" s="12" t="str">
        <f aca="false">IF(OR(AD$5="",$A10=""),"",IF(COUNTIFS('Leave Log'!$A$5:$A$304,$A10,'Leave Log'!$C$5:$C$304,"&lt;="&amp;AD$5,'Leave Log'!$D$5:$D$304,"&gt;="&amp;AD$5,'Leave Log'!$F$5:$F$304,"&lt;&gt;Rejected",'Leave Log'!$B$5:$B$304,"AL")&gt;0,"AL",IF(COUNTIFS('Leave Log'!$A$5:$A$304,$A10,'Leave Log'!$C$5:$C$304,"&lt;="&amp;AD$5,'Leave Log'!$D$5:$D$304,"&gt;="&amp;AD$5,'Leave Log'!$F$5:$F$304,"&lt;&gt;Rejected",'Leave Log'!$B$5:$B$304,"SL")&gt;0,"SL",IF(COUNTIFS('Leave Log'!$A$5:$A$304,$A10,'Leave Log'!$C$5:$C$304,"&lt;="&amp;AD$5,'Leave Log'!$D$5:$D$304,"&gt;="&amp;AD$5,'Leave Log'!$F$5:$F$304,"&lt;&gt;Rejected",'Leave Log'!$B$5:$B$304,"CL")&gt;0,"CL",IF(COUNTIFS('Leave Log'!$A$5:$A$304,$A10,'Leave Log'!$C$5:$C$304,"&lt;="&amp;AD$5,'Leave Log'!$D$5:$D$304,"&gt;="&amp;AD$5,'Leave Log'!$F$5:$F$304,"&lt;&gt;Rejected",'Leave Log'!$B$5:$B$304,"UL")&gt;0,"UL",IF(COUNTIFS('Leave Log'!$A$5:$A$304,$A10,'Leave Log'!$C$5:$C$304,"&lt;="&amp;AD$5,'Leave Log'!$D$5:$D$304,"&gt;="&amp;AD$5,'Leave Log'!$F$5:$F$304,"&lt;&gt;Rejected",'Leave Log'!$B$5:$B$304,"OT")&gt;0,"OT",""))))))</f>
        <v/>
      </c>
      <c r="AE10" s="12" t="str">
        <f aca="false">IF(OR(AE$5="",$A10=""),"",IF(COUNTIFS('Leave Log'!$A$5:$A$304,$A10,'Leave Log'!$C$5:$C$304,"&lt;="&amp;AE$5,'Leave Log'!$D$5:$D$304,"&gt;="&amp;AE$5,'Leave Log'!$F$5:$F$304,"&lt;&gt;Rejected",'Leave Log'!$B$5:$B$304,"AL")&gt;0,"AL",IF(COUNTIFS('Leave Log'!$A$5:$A$304,$A10,'Leave Log'!$C$5:$C$304,"&lt;="&amp;AE$5,'Leave Log'!$D$5:$D$304,"&gt;="&amp;AE$5,'Leave Log'!$F$5:$F$304,"&lt;&gt;Rejected",'Leave Log'!$B$5:$B$304,"SL")&gt;0,"SL",IF(COUNTIFS('Leave Log'!$A$5:$A$304,$A10,'Leave Log'!$C$5:$C$304,"&lt;="&amp;AE$5,'Leave Log'!$D$5:$D$304,"&gt;="&amp;AE$5,'Leave Log'!$F$5:$F$304,"&lt;&gt;Rejected",'Leave Log'!$B$5:$B$304,"CL")&gt;0,"CL",IF(COUNTIFS('Leave Log'!$A$5:$A$304,$A10,'Leave Log'!$C$5:$C$304,"&lt;="&amp;AE$5,'Leave Log'!$D$5:$D$304,"&gt;="&amp;AE$5,'Leave Log'!$F$5:$F$304,"&lt;&gt;Rejected",'Leave Log'!$B$5:$B$304,"UL")&gt;0,"UL",IF(COUNTIFS('Leave Log'!$A$5:$A$304,$A10,'Leave Log'!$C$5:$C$304,"&lt;="&amp;AE$5,'Leave Log'!$D$5:$D$304,"&gt;="&amp;AE$5,'Leave Log'!$F$5:$F$304,"&lt;&gt;Rejected",'Leave Log'!$B$5:$B$304,"OT")&gt;0,"OT",""))))))</f>
        <v/>
      </c>
      <c r="AF10" s="12" t="str">
        <f aca="false">IF(OR(AF$5="",$A10=""),"",IF(COUNTIFS('Leave Log'!$A$5:$A$304,$A10,'Leave Log'!$C$5:$C$304,"&lt;="&amp;AF$5,'Leave Log'!$D$5:$D$304,"&gt;="&amp;AF$5,'Leave Log'!$F$5:$F$304,"&lt;&gt;Rejected",'Leave Log'!$B$5:$B$304,"AL")&gt;0,"AL",IF(COUNTIFS('Leave Log'!$A$5:$A$304,$A10,'Leave Log'!$C$5:$C$304,"&lt;="&amp;AF$5,'Leave Log'!$D$5:$D$304,"&gt;="&amp;AF$5,'Leave Log'!$F$5:$F$304,"&lt;&gt;Rejected",'Leave Log'!$B$5:$B$304,"SL")&gt;0,"SL",IF(COUNTIFS('Leave Log'!$A$5:$A$304,$A10,'Leave Log'!$C$5:$C$304,"&lt;="&amp;AF$5,'Leave Log'!$D$5:$D$304,"&gt;="&amp;AF$5,'Leave Log'!$F$5:$F$304,"&lt;&gt;Rejected",'Leave Log'!$B$5:$B$304,"CL")&gt;0,"CL",IF(COUNTIFS('Leave Log'!$A$5:$A$304,$A10,'Leave Log'!$C$5:$C$304,"&lt;="&amp;AF$5,'Leave Log'!$D$5:$D$304,"&gt;="&amp;AF$5,'Leave Log'!$F$5:$F$304,"&lt;&gt;Rejected",'Leave Log'!$B$5:$B$304,"UL")&gt;0,"UL",IF(COUNTIFS('Leave Log'!$A$5:$A$304,$A10,'Leave Log'!$C$5:$C$304,"&lt;="&amp;AF$5,'Leave Log'!$D$5:$D$304,"&gt;="&amp;AF$5,'Leave Log'!$F$5:$F$304,"&lt;&gt;Rejected",'Leave Log'!$B$5:$B$304,"OT")&gt;0,"OT",""))))))</f>
        <v/>
      </c>
      <c r="AG10" s="12" t="str">
        <f aca="false">IF(OR(AG$5="",$A10=""),"",IF(COUNTIFS('Leave Log'!$A$5:$A$304,$A10,'Leave Log'!$C$5:$C$304,"&lt;="&amp;AG$5,'Leave Log'!$D$5:$D$304,"&gt;="&amp;AG$5,'Leave Log'!$F$5:$F$304,"&lt;&gt;Rejected",'Leave Log'!$B$5:$B$304,"AL")&gt;0,"AL",IF(COUNTIFS('Leave Log'!$A$5:$A$304,$A10,'Leave Log'!$C$5:$C$304,"&lt;="&amp;AG$5,'Leave Log'!$D$5:$D$304,"&gt;="&amp;AG$5,'Leave Log'!$F$5:$F$304,"&lt;&gt;Rejected",'Leave Log'!$B$5:$B$304,"SL")&gt;0,"SL",IF(COUNTIFS('Leave Log'!$A$5:$A$304,$A10,'Leave Log'!$C$5:$C$304,"&lt;="&amp;AG$5,'Leave Log'!$D$5:$D$304,"&gt;="&amp;AG$5,'Leave Log'!$F$5:$F$304,"&lt;&gt;Rejected",'Leave Log'!$B$5:$B$304,"CL")&gt;0,"CL",IF(COUNTIFS('Leave Log'!$A$5:$A$304,$A10,'Leave Log'!$C$5:$C$304,"&lt;="&amp;AG$5,'Leave Log'!$D$5:$D$304,"&gt;="&amp;AG$5,'Leave Log'!$F$5:$F$304,"&lt;&gt;Rejected",'Leave Log'!$B$5:$B$304,"UL")&gt;0,"UL",IF(COUNTIFS('Leave Log'!$A$5:$A$304,$A10,'Leave Log'!$C$5:$C$304,"&lt;="&amp;AG$5,'Leave Log'!$D$5:$D$304,"&gt;="&amp;AG$5,'Leave Log'!$F$5:$F$304,"&lt;&gt;Rejected",'Leave Log'!$B$5:$B$304,"OT")&gt;0,"OT",""))))))</f>
        <v/>
      </c>
    </row>
    <row r="11" customFormat="false" ht="15" hidden="false" customHeight="false" outlineLevel="0" collapsed="false">
      <c r="A11" s="3" t="str">
        <f aca="false">IF(Employees!B10="","",Employees!B10)</f>
        <v>Farid Khan</v>
      </c>
      <c r="B11" s="11" t="str">
        <f aca="false">IF(Employees!B10="","",Employees!C10)</f>
        <v>IT</v>
      </c>
      <c r="C11" s="12" t="str">
        <f aca="false">IF(OR(C$5="",$A11=""),"",IF(COUNTIFS('Leave Log'!$A$5:$A$304,$A11,'Leave Log'!$C$5:$C$304,"&lt;="&amp;C$5,'Leave Log'!$D$5:$D$304,"&gt;="&amp;C$5,'Leave Log'!$F$5:$F$304,"&lt;&gt;Rejected",'Leave Log'!$B$5:$B$304,"AL")&gt;0,"AL",IF(COUNTIFS('Leave Log'!$A$5:$A$304,$A11,'Leave Log'!$C$5:$C$304,"&lt;="&amp;C$5,'Leave Log'!$D$5:$D$304,"&gt;="&amp;C$5,'Leave Log'!$F$5:$F$304,"&lt;&gt;Rejected",'Leave Log'!$B$5:$B$304,"SL")&gt;0,"SL",IF(COUNTIFS('Leave Log'!$A$5:$A$304,$A11,'Leave Log'!$C$5:$C$304,"&lt;="&amp;C$5,'Leave Log'!$D$5:$D$304,"&gt;="&amp;C$5,'Leave Log'!$F$5:$F$304,"&lt;&gt;Rejected",'Leave Log'!$B$5:$B$304,"CL")&gt;0,"CL",IF(COUNTIFS('Leave Log'!$A$5:$A$304,$A11,'Leave Log'!$C$5:$C$304,"&lt;="&amp;C$5,'Leave Log'!$D$5:$D$304,"&gt;="&amp;C$5,'Leave Log'!$F$5:$F$304,"&lt;&gt;Rejected",'Leave Log'!$B$5:$B$304,"UL")&gt;0,"UL",IF(COUNTIFS('Leave Log'!$A$5:$A$304,$A11,'Leave Log'!$C$5:$C$304,"&lt;="&amp;C$5,'Leave Log'!$D$5:$D$304,"&gt;="&amp;C$5,'Leave Log'!$F$5:$F$304,"&lt;&gt;Rejected",'Leave Log'!$B$5:$B$304,"OT")&gt;0,"OT",""))))))</f>
        <v/>
      </c>
      <c r="D11" s="12" t="str">
        <f aca="false">IF(OR(D$5="",$A11=""),"",IF(COUNTIFS('Leave Log'!$A$5:$A$304,$A11,'Leave Log'!$C$5:$C$304,"&lt;="&amp;D$5,'Leave Log'!$D$5:$D$304,"&gt;="&amp;D$5,'Leave Log'!$F$5:$F$304,"&lt;&gt;Rejected",'Leave Log'!$B$5:$B$304,"AL")&gt;0,"AL",IF(COUNTIFS('Leave Log'!$A$5:$A$304,$A11,'Leave Log'!$C$5:$C$304,"&lt;="&amp;D$5,'Leave Log'!$D$5:$D$304,"&gt;="&amp;D$5,'Leave Log'!$F$5:$F$304,"&lt;&gt;Rejected",'Leave Log'!$B$5:$B$304,"SL")&gt;0,"SL",IF(COUNTIFS('Leave Log'!$A$5:$A$304,$A11,'Leave Log'!$C$5:$C$304,"&lt;="&amp;D$5,'Leave Log'!$D$5:$D$304,"&gt;="&amp;D$5,'Leave Log'!$F$5:$F$304,"&lt;&gt;Rejected",'Leave Log'!$B$5:$B$304,"CL")&gt;0,"CL",IF(COUNTIFS('Leave Log'!$A$5:$A$304,$A11,'Leave Log'!$C$5:$C$304,"&lt;="&amp;D$5,'Leave Log'!$D$5:$D$304,"&gt;="&amp;D$5,'Leave Log'!$F$5:$F$304,"&lt;&gt;Rejected",'Leave Log'!$B$5:$B$304,"UL")&gt;0,"UL",IF(COUNTIFS('Leave Log'!$A$5:$A$304,$A11,'Leave Log'!$C$5:$C$304,"&lt;="&amp;D$5,'Leave Log'!$D$5:$D$304,"&gt;="&amp;D$5,'Leave Log'!$F$5:$F$304,"&lt;&gt;Rejected",'Leave Log'!$B$5:$B$304,"OT")&gt;0,"OT",""))))))</f>
        <v/>
      </c>
      <c r="E11" s="12" t="str">
        <f aca="false">IF(OR(E$5="",$A11=""),"",IF(COUNTIFS('Leave Log'!$A$5:$A$304,$A11,'Leave Log'!$C$5:$C$304,"&lt;="&amp;E$5,'Leave Log'!$D$5:$D$304,"&gt;="&amp;E$5,'Leave Log'!$F$5:$F$304,"&lt;&gt;Rejected",'Leave Log'!$B$5:$B$304,"AL")&gt;0,"AL",IF(COUNTIFS('Leave Log'!$A$5:$A$304,$A11,'Leave Log'!$C$5:$C$304,"&lt;="&amp;E$5,'Leave Log'!$D$5:$D$304,"&gt;="&amp;E$5,'Leave Log'!$F$5:$F$304,"&lt;&gt;Rejected",'Leave Log'!$B$5:$B$304,"SL")&gt;0,"SL",IF(COUNTIFS('Leave Log'!$A$5:$A$304,$A11,'Leave Log'!$C$5:$C$304,"&lt;="&amp;E$5,'Leave Log'!$D$5:$D$304,"&gt;="&amp;E$5,'Leave Log'!$F$5:$F$304,"&lt;&gt;Rejected",'Leave Log'!$B$5:$B$304,"CL")&gt;0,"CL",IF(COUNTIFS('Leave Log'!$A$5:$A$304,$A11,'Leave Log'!$C$5:$C$304,"&lt;="&amp;E$5,'Leave Log'!$D$5:$D$304,"&gt;="&amp;E$5,'Leave Log'!$F$5:$F$304,"&lt;&gt;Rejected",'Leave Log'!$B$5:$B$304,"UL")&gt;0,"UL",IF(COUNTIFS('Leave Log'!$A$5:$A$304,$A11,'Leave Log'!$C$5:$C$304,"&lt;="&amp;E$5,'Leave Log'!$D$5:$D$304,"&gt;="&amp;E$5,'Leave Log'!$F$5:$F$304,"&lt;&gt;Rejected",'Leave Log'!$B$5:$B$304,"OT")&gt;0,"OT",""))))))</f>
        <v/>
      </c>
      <c r="F11" s="12" t="str">
        <f aca="false">IF(OR(F$5="",$A11=""),"",IF(COUNTIFS('Leave Log'!$A$5:$A$304,$A11,'Leave Log'!$C$5:$C$304,"&lt;="&amp;F$5,'Leave Log'!$D$5:$D$304,"&gt;="&amp;F$5,'Leave Log'!$F$5:$F$304,"&lt;&gt;Rejected",'Leave Log'!$B$5:$B$304,"AL")&gt;0,"AL",IF(COUNTIFS('Leave Log'!$A$5:$A$304,$A11,'Leave Log'!$C$5:$C$304,"&lt;="&amp;F$5,'Leave Log'!$D$5:$D$304,"&gt;="&amp;F$5,'Leave Log'!$F$5:$F$304,"&lt;&gt;Rejected",'Leave Log'!$B$5:$B$304,"SL")&gt;0,"SL",IF(COUNTIFS('Leave Log'!$A$5:$A$304,$A11,'Leave Log'!$C$5:$C$304,"&lt;="&amp;F$5,'Leave Log'!$D$5:$D$304,"&gt;="&amp;F$5,'Leave Log'!$F$5:$F$304,"&lt;&gt;Rejected",'Leave Log'!$B$5:$B$304,"CL")&gt;0,"CL",IF(COUNTIFS('Leave Log'!$A$5:$A$304,$A11,'Leave Log'!$C$5:$C$304,"&lt;="&amp;F$5,'Leave Log'!$D$5:$D$304,"&gt;="&amp;F$5,'Leave Log'!$F$5:$F$304,"&lt;&gt;Rejected",'Leave Log'!$B$5:$B$304,"UL")&gt;0,"UL",IF(COUNTIFS('Leave Log'!$A$5:$A$304,$A11,'Leave Log'!$C$5:$C$304,"&lt;="&amp;F$5,'Leave Log'!$D$5:$D$304,"&gt;="&amp;F$5,'Leave Log'!$F$5:$F$304,"&lt;&gt;Rejected",'Leave Log'!$B$5:$B$304,"OT")&gt;0,"OT",""))))))</f>
        <v/>
      </c>
      <c r="G11" s="12" t="str">
        <f aca="false">IF(OR(G$5="",$A11=""),"",IF(COUNTIFS('Leave Log'!$A$5:$A$304,$A11,'Leave Log'!$C$5:$C$304,"&lt;="&amp;G$5,'Leave Log'!$D$5:$D$304,"&gt;="&amp;G$5,'Leave Log'!$F$5:$F$304,"&lt;&gt;Rejected",'Leave Log'!$B$5:$B$304,"AL")&gt;0,"AL",IF(COUNTIFS('Leave Log'!$A$5:$A$304,$A11,'Leave Log'!$C$5:$C$304,"&lt;="&amp;G$5,'Leave Log'!$D$5:$D$304,"&gt;="&amp;G$5,'Leave Log'!$F$5:$F$304,"&lt;&gt;Rejected",'Leave Log'!$B$5:$B$304,"SL")&gt;0,"SL",IF(COUNTIFS('Leave Log'!$A$5:$A$304,$A11,'Leave Log'!$C$5:$C$304,"&lt;="&amp;G$5,'Leave Log'!$D$5:$D$304,"&gt;="&amp;G$5,'Leave Log'!$F$5:$F$304,"&lt;&gt;Rejected",'Leave Log'!$B$5:$B$304,"CL")&gt;0,"CL",IF(COUNTIFS('Leave Log'!$A$5:$A$304,$A11,'Leave Log'!$C$5:$C$304,"&lt;="&amp;G$5,'Leave Log'!$D$5:$D$304,"&gt;="&amp;G$5,'Leave Log'!$F$5:$F$304,"&lt;&gt;Rejected",'Leave Log'!$B$5:$B$304,"UL")&gt;0,"UL",IF(COUNTIFS('Leave Log'!$A$5:$A$304,$A11,'Leave Log'!$C$5:$C$304,"&lt;="&amp;G$5,'Leave Log'!$D$5:$D$304,"&gt;="&amp;G$5,'Leave Log'!$F$5:$F$304,"&lt;&gt;Rejected",'Leave Log'!$B$5:$B$304,"OT")&gt;0,"OT",""))))))</f>
        <v/>
      </c>
      <c r="H11" s="12" t="str">
        <f aca="false">IF(OR(H$5="",$A11=""),"",IF(COUNTIFS('Leave Log'!$A$5:$A$304,$A11,'Leave Log'!$C$5:$C$304,"&lt;="&amp;H$5,'Leave Log'!$D$5:$D$304,"&gt;="&amp;H$5,'Leave Log'!$F$5:$F$304,"&lt;&gt;Rejected",'Leave Log'!$B$5:$B$304,"AL")&gt;0,"AL",IF(COUNTIFS('Leave Log'!$A$5:$A$304,$A11,'Leave Log'!$C$5:$C$304,"&lt;="&amp;H$5,'Leave Log'!$D$5:$D$304,"&gt;="&amp;H$5,'Leave Log'!$F$5:$F$304,"&lt;&gt;Rejected",'Leave Log'!$B$5:$B$304,"SL")&gt;0,"SL",IF(COUNTIFS('Leave Log'!$A$5:$A$304,$A11,'Leave Log'!$C$5:$C$304,"&lt;="&amp;H$5,'Leave Log'!$D$5:$D$304,"&gt;="&amp;H$5,'Leave Log'!$F$5:$F$304,"&lt;&gt;Rejected",'Leave Log'!$B$5:$B$304,"CL")&gt;0,"CL",IF(COUNTIFS('Leave Log'!$A$5:$A$304,$A11,'Leave Log'!$C$5:$C$304,"&lt;="&amp;H$5,'Leave Log'!$D$5:$D$304,"&gt;="&amp;H$5,'Leave Log'!$F$5:$F$304,"&lt;&gt;Rejected",'Leave Log'!$B$5:$B$304,"UL")&gt;0,"UL",IF(COUNTIFS('Leave Log'!$A$5:$A$304,$A11,'Leave Log'!$C$5:$C$304,"&lt;="&amp;H$5,'Leave Log'!$D$5:$D$304,"&gt;="&amp;H$5,'Leave Log'!$F$5:$F$304,"&lt;&gt;Rejected",'Leave Log'!$B$5:$B$304,"OT")&gt;0,"OT",""))))))</f>
        <v/>
      </c>
      <c r="I11" s="12" t="str">
        <f aca="false">IF(OR(I$5="",$A11=""),"",IF(COUNTIFS('Leave Log'!$A$5:$A$304,$A11,'Leave Log'!$C$5:$C$304,"&lt;="&amp;I$5,'Leave Log'!$D$5:$D$304,"&gt;="&amp;I$5,'Leave Log'!$F$5:$F$304,"&lt;&gt;Rejected",'Leave Log'!$B$5:$B$304,"AL")&gt;0,"AL",IF(COUNTIFS('Leave Log'!$A$5:$A$304,$A11,'Leave Log'!$C$5:$C$304,"&lt;="&amp;I$5,'Leave Log'!$D$5:$D$304,"&gt;="&amp;I$5,'Leave Log'!$F$5:$F$304,"&lt;&gt;Rejected",'Leave Log'!$B$5:$B$304,"SL")&gt;0,"SL",IF(COUNTIFS('Leave Log'!$A$5:$A$304,$A11,'Leave Log'!$C$5:$C$304,"&lt;="&amp;I$5,'Leave Log'!$D$5:$D$304,"&gt;="&amp;I$5,'Leave Log'!$F$5:$F$304,"&lt;&gt;Rejected",'Leave Log'!$B$5:$B$304,"CL")&gt;0,"CL",IF(COUNTIFS('Leave Log'!$A$5:$A$304,$A11,'Leave Log'!$C$5:$C$304,"&lt;="&amp;I$5,'Leave Log'!$D$5:$D$304,"&gt;="&amp;I$5,'Leave Log'!$F$5:$F$304,"&lt;&gt;Rejected",'Leave Log'!$B$5:$B$304,"UL")&gt;0,"UL",IF(COUNTIFS('Leave Log'!$A$5:$A$304,$A11,'Leave Log'!$C$5:$C$304,"&lt;="&amp;I$5,'Leave Log'!$D$5:$D$304,"&gt;="&amp;I$5,'Leave Log'!$F$5:$F$304,"&lt;&gt;Rejected",'Leave Log'!$B$5:$B$304,"OT")&gt;0,"OT",""))))))</f>
        <v/>
      </c>
      <c r="J11" s="12" t="str">
        <f aca="false">IF(OR(J$5="",$A11=""),"",IF(COUNTIFS('Leave Log'!$A$5:$A$304,$A11,'Leave Log'!$C$5:$C$304,"&lt;="&amp;J$5,'Leave Log'!$D$5:$D$304,"&gt;="&amp;J$5,'Leave Log'!$F$5:$F$304,"&lt;&gt;Rejected",'Leave Log'!$B$5:$B$304,"AL")&gt;0,"AL",IF(COUNTIFS('Leave Log'!$A$5:$A$304,$A11,'Leave Log'!$C$5:$C$304,"&lt;="&amp;J$5,'Leave Log'!$D$5:$D$304,"&gt;="&amp;J$5,'Leave Log'!$F$5:$F$304,"&lt;&gt;Rejected",'Leave Log'!$B$5:$B$304,"SL")&gt;0,"SL",IF(COUNTIFS('Leave Log'!$A$5:$A$304,$A11,'Leave Log'!$C$5:$C$304,"&lt;="&amp;J$5,'Leave Log'!$D$5:$D$304,"&gt;="&amp;J$5,'Leave Log'!$F$5:$F$304,"&lt;&gt;Rejected",'Leave Log'!$B$5:$B$304,"CL")&gt;0,"CL",IF(COUNTIFS('Leave Log'!$A$5:$A$304,$A11,'Leave Log'!$C$5:$C$304,"&lt;="&amp;J$5,'Leave Log'!$D$5:$D$304,"&gt;="&amp;J$5,'Leave Log'!$F$5:$F$304,"&lt;&gt;Rejected",'Leave Log'!$B$5:$B$304,"UL")&gt;0,"UL",IF(COUNTIFS('Leave Log'!$A$5:$A$304,$A11,'Leave Log'!$C$5:$C$304,"&lt;="&amp;J$5,'Leave Log'!$D$5:$D$304,"&gt;="&amp;J$5,'Leave Log'!$F$5:$F$304,"&lt;&gt;Rejected",'Leave Log'!$B$5:$B$304,"OT")&gt;0,"OT",""))))))</f>
        <v/>
      </c>
      <c r="K11" s="12" t="str">
        <f aca="false">IF(OR(K$5="",$A11=""),"",IF(COUNTIFS('Leave Log'!$A$5:$A$304,$A11,'Leave Log'!$C$5:$C$304,"&lt;="&amp;K$5,'Leave Log'!$D$5:$D$304,"&gt;="&amp;K$5,'Leave Log'!$F$5:$F$304,"&lt;&gt;Rejected",'Leave Log'!$B$5:$B$304,"AL")&gt;0,"AL",IF(COUNTIFS('Leave Log'!$A$5:$A$304,$A11,'Leave Log'!$C$5:$C$304,"&lt;="&amp;K$5,'Leave Log'!$D$5:$D$304,"&gt;="&amp;K$5,'Leave Log'!$F$5:$F$304,"&lt;&gt;Rejected",'Leave Log'!$B$5:$B$304,"SL")&gt;0,"SL",IF(COUNTIFS('Leave Log'!$A$5:$A$304,$A11,'Leave Log'!$C$5:$C$304,"&lt;="&amp;K$5,'Leave Log'!$D$5:$D$304,"&gt;="&amp;K$5,'Leave Log'!$F$5:$F$304,"&lt;&gt;Rejected",'Leave Log'!$B$5:$B$304,"CL")&gt;0,"CL",IF(COUNTIFS('Leave Log'!$A$5:$A$304,$A11,'Leave Log'!$C$5:$C$304,"&lt;="&amp;K$5,'Leave Log'!$D$5:$D$304,"&gt;="&amp;K$5,'Leave Log'!$F$5:$F$304,"&lt;&gt;Rejected",'Leave Log'!$B$5:$B$304,"UL")&gt;0,"UL",IF(COUNTIFS('Leave Log'!$A$5:$A$304,$A11,'Leave Log'!$C$5:$C$304,"&lt;="&amp;K$5,'Leave Log'!$D$5:$D$304,"&gt;="&amp;K$5,'Leave Log'!$F$5:$F$304,"&lt;&gt;Rejected",'Leave Log'!$B$5:$B$304,"OT")&gt;0,"OT",""))))))</f>
        <v/>
      </c>
      <c r="L11" s="12" t="str">
        <f aca="false">IF(OR(L$5="",$A11=""),"",IF(COUNTIFS('Leave Log'!$A$5:$A$304,$A11,'Leave Log'!$C$5:$C$304,"&lt;="&amp;L$5,'Leave Log'!$D$5:$D$304,"&gt;="&amp;L$5,'Leave Log'!$F$5:$F$304,"&lt;&gt;Rejected",'Leave Log'!$B$5:$B$304,"AL")&gt;0,"AL",IF(COUNTIFS('Leave Log'!$A$5:$A$304,$A11,'Leave Log'!$C$5:$C$304,"&lt;="&amp;L$5,'Leave Log'!$D$5:$D$304,"&gt;="&amp;L$5,'Leave Log'!$F$5:$F$304,"&lt;&gt;Rejected",'Leave Log'!$B$5:$B$304,"SL")&gt;0,"SL",IF(COUNTIFS('Leave Log'!$A$5:$A$304,$A11,'Leave Log'!$C$5:$C$304,"&lt;="&amp;L$5,'Leave Log'!$D$5:$D$304,"&gt;="&amp;L$5,'Leave Log'!$F$5:$F$304,"&lt;&gt;Rejected",'Leave Log'!$B$5:$B$304,"CL")&gt;0,"CL",IF(COUNTIFS('Leave Log'!$A$5:$A$304,$A11,'Leave Log'!$C$5:$C$304,"&lt;="&amp;L$5,'Leave Log'!$D$5:$D$304,"&gt;="&amp;L$5,'Leave Log'!$F$5:$F$304,"&lt;&gt;Rejected",'Leave Log'!$B$5:$B$304,"UL")&gt;0,"UL",IF(COUNTIFS('Leave Log'!$A$5:$A$304,$A11,'Leave Log'!$C$5:$C$304,"&lt;="&amp;L$5,'Leave Log'!$D$5:$D$304,"&gt;="&amp;L$5,'Leave Log'!$F$5:$F$304,"&lt;&gt;Rejected",'Leave Log'!$B$5:$B$304,"OT")&gt;0,"OT",""))))))</f>
        <v/>
      </c>
      <c r="M11" s="12" t="str">
        <f aca="false">IF(OR(M$5="",$A11=""),"",IF(COUNTIFS('Leave Log'!$A$5:$A$304,$A11,'Leave Log'!$C$5:$C$304,"&lt;="&amp;M$5,'Leave Log'!$D$5:$D$304,"&gt;="&amp;M$5,'Leave Log'!$F$5:$F$304,"&lt;&gt;Rejected",'Leave Log'!$B$5:$B$304,"AL")&gt;0,"AL",IF(COUNTIFS('Leave Log'!$A$5:$A$304,$A11,'Leave Log'!$C$5:$C$304,"&lt;="&amp;M$5,'Leave Log'!$D$5:$D$304,"&gt;="&amp;M$5,'Leave Log'!$F$5:$F$304,"&lt;&gt;Rejected",'Leave Log'!$B$5:$B$304,"SL")&gt;0,"SL",IF(COUNTIFS('Leave Log'!$A$5:$A$304,$A11,'Leave Log'!$C$5:$C$304,"&lt;="&amp;M$5,'Leave Log'!$D$5:$D$304,"&gt;="&amp;M$5,'Leave Log'!$F$5:$F$304,"&lt;&gt;Rejected",'Leave Log'!$B$5:$B$304,"CL")&gt;0,"CL",IF(COUNTIFS('Leave Log'!$A$5:$A$304,$A11,'Leave Log'!$C$5:$C$304,"&lt;="&amp;M$5,'Leave Log'!$D$5:$D$304,"&gt;="&amp;M$5,'Leave Log'!$F$5:$F$304,"&lt;&gt;Rejected",'Leave Log'!$B$5:$B$304,"UL")&gt;0,"UL",IF(COUNTIFS('Leave Log'!$A$5:$A$304,$A11,'Leave Log'!$C$5:$C$304,"&lt;="&amp;M$5,'Leave Log'!$D$5:$D$304,"&gt;="&amp;M$5,'Leave Log'!$F$5:$F$304,"&lt;&gt;Rejected",'Leave Log'!$B$5:$B$304,"OT")&gt;0,"OT",""))))))</f>
        <v/>
      </c>
      <c r="N11" s="12" t="str">
        <f aca="false">IF(OR(N$5="",$A11=""),"",IF(COUNTIFS('Leave Log'!$A$5:$A$304,$A11,'Leave Log'!$C$5:$C$304,"&lt;="&amp;N$5,'Leave Log'!$D$5:$D$304,"&gt;="&amp;N$5,'Leave Log'!$F$5:$F$304,"&lt;&gt;Rejected",'Leave Log'!$B$5:$B$304,"AL")&gt;0,"AL",IF(COUNTIFS('Leave Log'!$A$5:$A$304,$A11,'Leave Log'!$C$5:$C$304,"&lt;="&amp;N$5,'Leave Log'!$D$5:$D$304,"&gt;="&amp;N$5,'Leave Log'!$F$5:$F$304,"&lt;&gt;Rejected",'Leave Log'!$B$5:$B$304,"SL")&gt;0,"SL",IF(COUNTIFS('Leave Log'!$A$5:$A$304,$A11,'Leave Log'!$C$5:$C$304,"&lt;="&amp;N$5,'Leave Log'!$D$5:$D$304,"&gt;="&amp;N$5,'Leave Log'!$F$5:$F$304,"&lt;&gt;Rejected",'Leave Log'!$B$5:$B$304,"CL")&gt;0,"CL",IF(COUNTIFS('Leave Log'!$A$5:$A$304,$A11,'Leave Log'!$C$5:$C$304,"&lt;="&amp;N$5,'Leave Log'!$D$5:$D$304,"&gt;="&amp;N$5,'Leave Log'!$F$5:$F$304,"&lt;&gt;Rejected",'Leave Log'!$B$5:$B$304,"UL")&gt;0,"UL",IF(COUNTIFS('Leave Log'!$A$5:$A$304,$A11,'Leave Log'!$C$5:$C$304,"&lt;="&amp;N$5,'Leave Log'!$D$5:$D$304,"&gt;="&amp;N$5,'Leave Log'!$F$5:$F$304,"&lt;&gt;Rejected",'Leave Log'!$B$5:$B$304,"OT")&gt;0,"OT",""))))))</f>
        <v/>
      </c>
      <c r="O11" s="12" t="str">
        <f aca="false">IF(OR(O$5="",$A11=""),"",IF(COUNTIFS('Leave Log'!$A$5:$A$304,$A11,'Leave Log'!$C$5:$C$304,"&lt;="&amp;O$5,'Leave Log'!$D$5:$D$304,"&gt;="&amp;O$5,'Leave Log'!$F$5:$F$304,"&lt;&gt;Rejected",'Leave Log'!$B$5:$B$304,"AL")&gt;0,"AL",IF(COUNTIFS('Leave Log'!$A$5:$A$304,$A11,'Leave Log'!$C$5:$C$304,"&lt;="&amp;O$5,'Leave Log'!$D$5:$D$304,"&gt;="&amp;O$5,'Leave Log'!$F$5:$F$304,"&lt;&gt;Rejected",'Leave Log'!$B$5:$B$304,"SL")&gt;0,"SL",IF(COUNTIFS('Leave Log'!$A$5:$A$304,$A11,'Leave Log'!$C$5:$C$304,"&lt;="&amp;O$5,'Leave Log'!$D$5:$D$304,"&gt;="&amp;O$5,'Leave Log'!$F$5:$F$304,"&lt;&gt;Rejected",'Leave Log'!$B$5:$B$304,"CL")&gt;0,"CL",IF(COUNTIFS('Leave Log'!$A$5:$A$304,$A11,'Leave Log'!$C$5:$C$304,"&lt;="&amp;O$5,'Leave Log'!$D$5:$D$304,"&gt;="&amp;O$5,'Leave Log'!$F$5:$F$304,"&lt;&gt;Rejected",'Leave Log'!$B$5:$B$304,"UL")&gt;0,"UL",IF(COUNTIFS('Leave Log'!$A$5:$A$304,$A11,'Leave Log'!$C$5:$C$304,"&lt;="&amp;O$5,'Leave Log'!$D$5:$D$304,"&gt;="&amp;O$5,'Leave Log'!$F$5:$F$304,"&lt;&gt;Rejected",'Leave Log'!$B$5:$B$304,"OT")&gt;0,"OT",""))))))</f>
        <v/>
      </c>
      <c r="P11" s="12" t="str">
        <f aca="false">IF(OR(P$5="",$A11=""),"",IF(COUNTIFS('Leave Log'!$A$5:$A$304,$A11,'Leave Log'!$C$5:$C$304,"&lt;="&amp;P$5,'Leave Log'!$D$5:$D$304,"&gt;="&amp;P$5,'Leave Log'!$F$5:$F$304,"&lt;&gt;Rejected",'Leave Log'!$B$5:$B$304,"AL")&gt;0,"AL",IF(COUNTIFS('Leave Log'!$A$5:$A$304,$A11,'Leave Log'!$C$5:$C$304,"&lt;="&amp;P$5,'Leave Log'!$D$5:$D$304,"&gt;="&amp;P$5,'Leave Log'!$F$5:$F$304,"&lt;&gt;Rejected",'Leave Log'!$B$5:$B$304,"SL")&gt;0,"SL",IF(COUNTIFS('Leave Log'!$A$5:$A$304,$A11,'Leave Log'!$C$5:$C$304,"&lt;="&amp;P$5,'Leave Log'!$D$5:$D$304,"&gt;="&amp;P$5,'Leave Log'!$F$5:$F$304,"&lt;&gt;Rejected",'Leave Log'!$B$5:$B$304,"CL")&gt;0,"CL",IF(COUNTIFS('Leave Log'!$A$5:$A$304,$A11,'Leave Log'!$C$5:$C$304,"&lt;="&amp;P$5,'Leave Log'!$D$5:$D$304,"&gt;="&amp;P$5,'Leave Log'!$F$5:$F$304,"&lt;&gt;Rejected",'Leave Log'!$B$5:$B$304,"UL")&gt;0,"UL",IF(COUNTIFS('Leave Log'!$A$5:$A$304,$A11,'Leave Log'!$C$5:$C$304,"&lt;="&amp;P$5,'Leave Log'!$D$5:$D$304,"&gt;="&amp;P$5,'Leave Log'!$F$5:$F$304,"&lt;&gt;Rejected",'Leave Log'!$B$5:$B$304,"OT")&gt;0,"OT",""))))))</f>
        <v/>
      </c>
      <c r="Q11" s="12" t="str">
        <f aca="false">IF(OR(Q$5="",$A11=""),"",IF(COUNTIFS('Leave Log'!$A$5:$A$304,$A11,'Leave Log'!$C$5:$C$304,"&lt;="&amp;Q$5,'Leave Log'!$D$5:$D$304,"&gt;="&amp;Q$5,'Leave Log'!$F$5:$F$304,"&lt;&gt;Rejected",'Leave Log'!$B$5:$B$304,"AL")&gt;0,"AL",IF(COUNTIFS('Leave Log'!$A$5:$A$304,$A11,'Leave Log'!$C$5:$C$304,"&lt;="&amp;Q$5,'Leave Log'!$D$5:$D$304,"&gt;="&amp;Q$5,'Leave Log'!$F$5:$F$304,"&lt;&gt;Rejected",'Leave Log'!$B$5:$B$304,"SL")&gt;0,"SL",IF(COUNTIFS('Leave Log'!$A$5:$A$304,$A11,'Leave Log'!$C$5:$C$304,"&lt;="&amp;Q$5,'Leave Log'!$D$5:$D$304,"&gt;="&amp;Q$5,'Leave Log'!$F$5:$F$304,"&lt;&gt;Rejected",'Leave Log'!$B$5:$B$304,"CL")&gt;0,"CL",IF(COUNTIFS('Leave Log'!$A$5:$A$304,$A11,'Leave Log'!$C$5:$C$304,"&lt;="&amp;Q$5,'Leave Log'!$D$5:$D$304,"&gt;="&amp;Q$5,'Leave Log'!$F$5:$F$304,"&lt;&gt;Rejected",'Leave Log'!$B$5:$B$304,"UL")&gt;0,"UL",IF(COUNTIFS('Leave Log'!$A$5:$A$304,$A11,'Leave Log'!$C$5:$C$304,"&lt;="&amp;Q$5,'Leave Log'!$D$5:$D$304,"&gt;="&amp;Q$5,'Leave Log'!$F$5:$F$304,"&lt;&gt;Rejected",'Leave Log'!$B$5:$B$304,"OT")&gt;0,"OT",""))))))</f>
        <v/>
      </c>
      <c r="R11" s="12" t="str">
        <f aca="false">IF(OR(R$5="",$A11=""),"",IF(COUNTIFS('Leave Log'!$A$5:$A$304,$A11,'Leave Log'!$C$5:$C$304,"&lt;="&amp;R$5,'Leave Log'!$D$5:$D$304,"&gt;="&amp;R$5,'Leave Log'!$F$5:$F$304,"&lt;&gt;Rejected",'Leave Log'!$B$5:$B$304,"AL")&gt;0,"AL",IF(COUNTIFS('Leave Log'!$A$5:$A$304,$A11,'Leave Log'!$C$5:$C$304,"&lt;="&amp;R$5,'Leave Log'!$D$5:$D$304,"&gt;="&amp;R$5,'Leave Log'!$F$5:$F$304,"&lt;&gt;Rejected",'Leave Log'!$B$5:$B$304,"SL")&gt;0,"SL",IF(COUNTIFS('Leave Log'!$A$5:$A$304,$A11,'Leave Log'!$C$5:$C$304,"&lt;="&amp;R$5,'Leave Log'!$D$5:$D$304,"&gt;="&amp;R$5,'Leave Log'!$F$5:$F$304,"&lt;&gt;Rejected",'Leave Log'!$B$5:$B$304,"CL")&gt;0,"CL",IF(COUNTIFS('Leave Log'!$A$5:$A$304,$A11,'Leave Log'!$C$5:$C$304,"&lt;="&amp;R$5,'Leave Log'!$D$5:$D$304,"&gt;="&amp;R$5,'Leave Log'!$F$5:$F$304,"&lt;&gt;Rejected",'Leave Log'!$B$5:$B$304,"UL")&gt;0,"UL",IF(COUNTIFS('Leave Log'!$A$5:$A$304,$A11,'Leave Log'!$C$5:$C$304,"&lt;="&amp;R$5,'Leave Log'!$D$5:$D$304,"&gt;="&amp;R$5,'Leave Log'!$F$5:$F$304,"&lt;&gt;Rejected",'Leave Log'!$B$5:$B$304,"OT")&gt;0,"OT",""))))))</f>
        <v/>
      </c>
      <c r="S11" s="12" t="str">
        <f aca="false">IF(OR(S$5="",$A11=""),"",IF(COUNTIFS('Leave Log'!$A$5:$A$304,$A11,'Leave Log'!$C$5:$C$304,"&lt;="&amp;S$5,'Leave Log'!$D$5:$D$304,"&gt;="&amp;S$5,'Leave Log'!$F$5:$F$304,"&lt;&gt;Rejected",'Leave Log'!$B$5:$B$304,"AL")&gt;0,"AL",IF(COUNTIFS('Leave Log'!$A$5:$A$304,$A11,'Leave Log'!$C$5:$C$304,"&lt;="&amp;S$5,'Leave Log'!$D$5:$D$304,"&gt;="&amp;S$5,'Leave Log'!$F$5:$F$304,"&lt;&gt;Rejected",'Leave Log'!$B$5:$B$304,"SL")&gt;0,"SL",IF(COUNTIFS('Leave Log'!$A$5:$A$304,$A11,'Leave Log'!$C$5:$C$304,"&lt;="&amp;S$5,'Leave Log'!$D$5:$D$304,"&gt;="&amp;S$5,'Leave Log'!$F$5:$F$304,"&lt;&gt;Rejected",'Leave Log'!$B$5:$B$304,"CL")&gt;0,"CL",IF(COUNTIFS('Leave Log'!$A$5:$A$304,$A11,'Leave Log'!$C$5:$C$304,"&lt;="&amp;S$5,'Leave Log'!$D$5:$D$304,"&gt;="&amp;S$5,'Leave Log'!$F$5:$F$304,"&lt;&gt;Rejected",'Leave Log'!$B$5:$B$304,"UL")&gt;0,"UL",IF(COUNTIFS('Leave Log'!$A$5:$A$304,$A11,'Leave Log'!$C$5:$C$304,"&lt;="&amp;S$5,'Leave Log'!$D$5:$D$304,"&gt;="&amp;S$5,'Leave Log'!$F$5:$F$304,"&lt;&gt;Rejected",'Leave Log'!$B$5:$B$304,"OT")&gt;0,"OT",""))))))</f>
        <v/>
      </c>
      <c r="T11" s="12" t="str">
        <f aca="false">IF(OR(T$5="",$A11=""),"",IF(COUNTIFS('Leave Log'!$A$5:$A$304,$A11,'Leave Log'!$C$5:$C$304,"&lt;="&amp;T$5,'Leave Log'!$D$5:$D$304,"&gt;="&amp;T$5,'Leave Log'!$F$5:$F$304,"&lt;&gt;Rejected",'Leave Log'!$B$5:$B$304,"AL")&gt;0,"AL",IF(COUNTIFS('Leave Log'!$A$5:$A$304,$A11,'Leave Log'!$C$5:$C$304,"&lt;="&amp;T$5,'Leave Log'!$D$5:$D$304,"&gt;="&amp;T$5,'Leave Log'!$F$5:$F$304,"&lt;&gt;Rejected",'Leave Log'!$B$5:$B$304,"SL")&gt;0,"SL",IF(COUNTIFS('Leave Log'!$A$5:$A$304,$A11,'Leave Log'!$C$5:$C$304,"&lt;="&amp;T$5,'Leave Log'!$D$5:$D$304,"&gt;="&amp;T$5,'Leave Log'!$F$5:$F$304,"&lt;&gt;Rejected",'Leave Log'!$B$5:$B$304,"CL")&gt;0,"CL",IF(COUNTIFS('Leave Log'!$A$5:$A$304,$A11,'Leave Log'!$C$5:$C$304,"&lt;="&amp;T$5,'Leave Log'!$D$5:$D$304,"&gt;="&amp;T$5,'Leave Log'!$F$5:$F$304,"&lt;&gt;Rejected",'Leave Log'!$B$5:$B$304,"UL")&gt;0,"UL",IF(COUNTIFS('Leave Log'!$A$5:$A$304,$A11,'Leave Log'!$C$5:$C$304,"&lt;="&amp;T$5,'Leave Log'!$D$5:$D$304,"&gt;="&amp;T$5,'Leave Log'!$F$5:$F$304,"&lt;&gt;Rejected",'Leave Log'!$B$5:$B$304,"OT")&gt;0,"OT",""))))))</f>
        <v/>
      </c>
      <c r="U11" s="12" t="str">
        <f aca="false">IF(OR(U$5="",$A11=""),"",IF(COUNTIFS('Leave Log'!$A$5:$A$304,$A11,'Leave Log'!$C$5:$C$304,"&lt;="&amp;U$5,'Leave Log'!$D$5:$D$304,"&gt;="&amp;U$5,'Leave Log'!$F$5:$F$304,"&lt;&gt;Rejected",'Leave Log'!$B$5:$B$304,"AL")&gt;0,"AL",IF(COUNTIFS('Leave Log'!$A$5:$A$304,$A11,'Leave Log'!$C$5:$C$304,"&lt;="&amp;U$5,'Leave Log'!$D$5:$D$304,"&gt;="&amp;U$5,'Leave Log'!$F$5:$F$304,"&lt;&gt;Rejected",'Leave Log'!$B$5:$B$304,"SL")&gt;0,"SL",IF(COUNTIFS('Leave Log'!$A$5:$A$304,$A11,'Leave Log'!$C$5:$C$304,"&lt;="&amp;U$5,'Leave Log'!$D$5:$D$304,"&gt;="&amp;U$5,'Leave Log'!$F$5:$F$304,"&lt;&gt;Rejected",'Leave Log'!$B$5:$B$304,"CL")&gt;0,"CL",IF(COUNTIFS('Leave Log'!$A$5:$A$304,$A11,'Leave Log'!$C$5:$C$304,"&lt;="&amp;U$5,'Leave Log'!$D$5:$D$304,"&gt;="&amp;U$5,'Leave Log'!$F$5:$F$304,"&lt;&gt;Rejected",'Leave Log'!$B$5:$B$304,"UL")&gt;0,"UL",IF(COUNTIFS('Leave Log'!$A$5:$A$304,$A11,'Leave Log'!$C$5:$C$304,"&lt;="&amp;U$5,'Leave Log'!$D$5:$D$304,"&gt;="&amp;U$5,'Leave Log'!$F$5:$F$304,"&lt;&gt;Rejected",'Leave Log'!$B$5:$B$304,"OT")&gt;0,"OT",""))))))</f>
        <v/>
      </c>
      <c r="V11" s="12" t="str">
        <f aca="false">IF(OR(V$5="",$A11=""),"",IF(COUNTIFS('Leave Log'!$A$5:$A$304,$A11,'Leave Log'!$C$5:$C$304,"&lt;="&amp;V$5,'Leave Log'!$D$5:$D$304,"&gt;="&amp;V$5,'Leave Log'!$F$5:$F$304,"&lt;&gt;Rejected",'Leave Log'!$B$5:$B$304,"AL")&gt;0,"AL",IF(COUNTIFS('Leave Log'!$A$5:$A$304,$A11,'Leave Log'!$C$5:$C$304,"&lt;="&amp;V$5,'Leave Log'!$D$5:$D$304,"&gt;="&amp;V$5,'Leave Log'!$F$5:$F$304,"&lt;&gt;Rejected",'Leave Log'!$B$5:$B$304,"SL")&gt;0,"SL",IF(COUNTIFS('Leave Log'!$A$5:$A$304,$A11,'Leave Log'!$C$5:$C$304,"&lt;="&amp;V$5,'Leave Log'!$D$5:$D$304,"&gt;="&amp;V$5,'Leave Log'!$F$5:$F$304,"&lt;&gt;Rejected",'Leave Log'!$B$5:$B$304,"CL")&gt;0,"CL",IF(COUNTIFS('Leave Log'!$A$5:$A$304,$A11,'Leave Log'!$C$5:$C$304,"&lt;="&amp;V$5,'Leave Log'!$D$5:$D$304,"&gt;="&amp;V$5,'Leave Log'!$F$5:$F$304,"&lt;&gt;Rejected",'Leave Log'!$B$5:$B$304,"UL")&gt;0,"UL",IF(COUNTIFS('Leave Log'!$A$5:$A$304,$A11,'Leave Log'!$C$5:$C$304,"&lt;="&amp;V$5,'Leave Log'!$D$5:$D$304,"&gt;="&amp;V$5,'Leave Log'!$F$5:$F$304,"&lt;&gt;Rejected",'Leave Log'!$B$5:$B$304,"OT")&gt;0,"OT",""))))))</f>
        <v/>
      </c>
      <c r="W11" s="12" t="str">
        <f aca="false">IF(OR(W$5="",$A11=""),"",IF(COUNTIFS('Leave Log'!$A$5:$A$304,$A11,'Leave Log'!$C$5:$C$304,"&lt;="&amp;W$5,'Leave Log'!$D$5:$D$304,"&gt;="&amp;W$5,'Leave Log'!$F$5:$F$304,"&lt;&gt;Rejected",'Leave Log'!$B$5:$B$304,"AL")&gt;0,"AL",IF(COUNTIFS('Leave Log'!$A$5:$A$304,$A11,'Leave Log'!$C$5:$C$304,"&lt;="&amp;W$5,'Leave Log'!$D$5:$D$304,"&gt;="&amp;W$5,'Leave Log'!$F$5:$F$304,"&lt;&gt;Rejected",'Leave Log'!$B$5:$B$304,"SL")&gt;0,"SL",IF(COUNTIFS('Leave Log'!$A$5:$A$304,$A11,'Leave Log'!$C$5:$C$304,"&lt;="&amp;W$5,'Leave Log'!$D$5:$D$304,"&gt;="&amp;W$5,'Leave Log'!$F$5:$F$304,"&lt;&gt;Rejected",'Leave Log'!$B$5:$B$304,"CL")&gt;0,"CL",IF(COUNTIFS('Leave Log'!$A$5:$A$304,$A11,'Leave Log'!$C$5:$C$304,"&lt;="&amp;W$5,'Leave Log'!$D$5:$D$304,"&gt;="&amp;W$5,'Leave Log'!$F$5:$F$304,"&lt;&gt;Rejected",'Leave Log'!$B$5:$B$304,"UL")&gt;0,"UL",IF(COUNTIFS('Leave Log'!$A$5:$A$304,$A11,'Leave Log'!$C$5:$C$304,"&lt;="&amp;W$5,'Leave Log'!$D$5:$D$304,"&gt;="&amp;W$5,'Leave Log'!$F$5:$F$304,"&lt;&gt;Rejected",'Leave Log'!$B$5:$B$304,"OT")&gt;0,"OT",""))))))</f>
        <v/>
      </c>
      <c r="X11" s="12" t="str">
        <f aca="false">IF(OR(X$5="",$A11=""),"",IF(COUNTIFS('Leave Log'!$A$5:$A$304,$A11,'Leave Log'!$C$5:$C$304,"&lt;="&amp;X$5,'Leave Log'!$D$5:$D$304,"&gt;="&amp;X$5,'Leave Log'!$F$5:$F$304,"&lt;&gt;Rejected",'Leave Log'!$B$5:$B$304,"AL")&gt;0,"AL",IF(COUNTIFS('Leave Log'!$A$5:$A$304,$A11,'Leave Log'!$C$5:$C$304,"&lt;="&amp;X$5,'Leave Log'!$D$5:$D$304,"&gt;="&amp;X$5,'Leave Log'!$F$5:$F$304,"&lt;&gt;Rejected",'Leave Log'!$B$5:$B$304,"SL")&gt;0,"SL",IF(COUNTIFS('Leave Log'!$A$5:$A$304,$A11,'Leave Log'!$C$5:$C$304,"&lt;="&amp;X$5,'Leave Log'!$D$5:$D$304,"&gt;="&amp;X$5,'Leave Log'!$F$5:$F$304,"&lt;&gt;Rejected",'Leave Log'!$B$5:$B$304,"CL")&gt;0,"CL",IF(COUNTIFS('Leave Log'!$A$5:$A$304,$A11,'Leave Log'!$C$5:$C$304,"&lt;="&amp;X$5,'Leave Log'!$D$5:$D$304,"&gt;="&amp;X$5,'Leave Log'!$F$5:$F$304,"&lt;&gt;Rejected",'Leave Log'!$B$5:$B$304,"UL")&gt;0,"UL",IF(COUNTIFS('Leave Log'!$A$5:$A$304,$A11,'Leave Log'!$C$5:$C$304,"&lt;="&amp;X$5,'Leave Log'!$D$5:$D$304,"&gt;="&amp;X$5,'Leave Log'!$F$5:$F$304,"&lt;&gt;Rejected",'Leave Log'!$B$5:$B$304,"OT")&gt;0,"OT",""))))))</f>
        <v/>
      </c>
      <c r="Y11" s="12" t="str">
        <f aca="false">IF(OR(Y$5="",$A11=""),"",IF(COUNTIFS('Leave Log'!$A$5:$A$304,$A11,'Leave Log'!$C$5:$C$304,"&lt;="&amp;Y$5,'Leave Log'!$D$5:$D$304,"&gt;="&amp;Y$5,'Leave Log'!$F$5:$F$304,"&lt;&gt;Rejected",'Leave Log'!$B$5:$B$304,"AL")&gt;0,"AL",IF(COUNTIFS('Leave Log'!$A$5:$A$304,$A11,'Leave Log'!$C$5:$C$304,"&lt;="&amp;Y$5,'Leave Log'!$D$5:$D$304,"&gt;="&amp;Y$5,'Leave Log'!$F$5:$F$304,"&lt;&gt;Rejected",'Leave Log'!$B$5:$B$304,"SL")&gt;0,"SL",IF(COUNTIFS('Leave Log'!$A$5:$A$304,$A11,'Leave Log'!$C$5:$C$304,"&lt;="&amp;Y$5,'Leave Log'!$D$5:$D$304,"&gt;="&amp;Y$5,'Leave Log'!$F$5:$F$304,"&lt;&gt;Rejected",'Leave Log'!$B$5:$B$304,"CL")&gt;0,"CL",IF(COUNTIFS('Leave Log'!$A$5:$A$304,$A11,'Leave Log'!$C$5:$C$304,"&lt;="&amp;Y$5,'Leave Log'!$D$5:$D$304,"&gt;="&amp;Y$5,'Leave Log'!$F$5:$F$304,"&lt;&gt;Rejected",'Leave Log'!$B$5:$B$304,"UL")&gt;0,"UL",IF(COUNTIFS('Leave Log'!$A$5:$A$304,$A11,'Leave Log'!$C$5:$C$304,"&lt;="&amp;Y$5,'Leave Log'!$D$5:$D$304,"&gt;="&amp;Y$5,'Leave Log'!$F$5:$F$304,"&lt;&gt;Rejected",'Leave Log'!$B$5:$B$304,"OT")&gt;0,"OT",""))))))</f>
        <v/>
      </c>
      <c r="Z11" s="12" t="str">
        <f aca="false">IF(OR(Z$5="",$A11=""),"",IF(COUNTIFS('Leave Log'!$A$5:$A$304,$A11,'Leave Log'!$C$5:$C$304,"&lt;="&amp;Z$5,'Leave Log'!$D$5:$D$304,"&gt;="&amp;Z$5,'Leave Log'!$F$5:$F$304,"&lt;&gt;Rejected",'Leave Log'!$B$5:$B$304,"AL")&gt;0,"AL",IF(COUNTIFS('Leave Log'!$A$5:$A$304,$A11,'Leave Log'!$C$5:$C$304,"&lt;="&amp;Z$5,'Leave Log'!$D$5:$D$304,"&gt;="&amp;Z$5,'Leave Log'!$F$5:$F$304,"&lt;&gt;Rejected",'Leave Log'!$B$5:$B$304,"SL")&gt;0,"SL",IF(COUNTIFS('Leave Log'!$A$5:$A$304,$A11,'Leave Log'!$C$5:$C$304,"&lt;="&amp;Z$5,'Leave Log'!$D$5:$D$304,"&gt;="&amp;Z$5,'Leave Log'!$F$5:$F$304,"&lt;&gt;Rejected",'Leave Log'!$B$5:$B$304,"CL")&gt;0,"CL",IF(COUNTIFS('Leave Log'!$A$5:$A$304,$A11,'Leave Log'!$C$5:$C$304,"&lt;="&amp;Z$5,'Leave Log'!$D$5:$D$304,"&gt;="&amp;Z$5,'Leave Log'!$F$5:$F$304,"&lt;&gt;Rejected",'Leave Log'!$B$5:$B$304,"UL")&gt;0,"UL",IF(COUNTIFS('Leave Log'!$A$5:$A$304,$A11,'Leave Log'!$C$5:$C$304,"&lt;="&amp;Z$5,'Leave Log'!$D$5:$D$304,"&gt;="&amp;Z$5,'Leave Log'!$F$5:$F$304,"&lt;&gt;Rejected",'Leave Log'!$B$5:$B$304,"OT")&gt;0,"OT",""))))))</f>
        <v/>
      </c>
      <c r="AA11" s="12" t="str">
        <f aca="false">IF(OR(AA$5="",$A11=""),"",IF(COUNTIFS('Leave Log'!$A$5:$A$304,$A11,'Leave Log'!$C$5:$C$304,"&lt;="&amp;AA$5,'Leave Log'!$D$5:$D$304,"&gt;="&amp;AA$5,'Leave Log'!$F$5:$F$304,"&lt;&gt;Rejected",'Leave Log'!$B$5:$B$304,"AL")&gt;0,"AL",IF(COUNTIFS('Leave Log'!$A$5:$A$304,$A11,'Leave Log'!$C$5:$C$304,"&lt;="&amp;AA$5,'Leave Log'!$D$5:$D$304,"&gt;="&amp;AA$5,'Leave Log'!$F$5:$F$304,"&lt;&gt;Rejected",'Leave Log'!$B$5:$B$304,"SL")&gt;0,"SL",IF(COUNTIFS('Leave Log'!$A$5:$A$304,$A11,'Leave Log'!$C$5:$C$304,"&lt;="&amp;AA$5,'Leave Log'!$D$5:$D$304,"&gt;="&amp;AA$5,'Leave Log'!$F$5:$F$304,"&lt;&gt;Rejected",'Leave Log'!$B$5:$B$304,"CL")&gt;0,"CL",IF(COUNTIFS('Leave Log'!$A$5:$A$304,$A11,'Leave Log'!$C$5:$C$304,"&lt;="&amp;AA$5,'Leave Log'!$D$5:$D$304,"&gt;="&amp;AA$5,'Leave Log'!$F$5:$F$304,"&lt;&gt;Rejected",'Leave Log'!$B$5:$B$304,"UL")&gt;0,"UL",IF(COUNTIFS('Leave Log'!$A$5:$A$304,$A11,'Leave Log'!$C$5:$C$304,"&lt;="&amp;AA$5,'Leave Log'!$D$5:$D$304,"&gt;="&amp;AA$5,'Leave Log'!$F$5:$F$304,"&lt;&gt;Rejected",'Leave Log'!$B$5:$B$304,"OT")&gt;0,"OT",""))))))</f>
        <v/>
      </c>
      <c r="AB11" s="12" t="str">
        <f aca="false">IF(OR(AB$5="",$A11=""),"",IF(COUNTIFS('Leave Log'!$A$5:$A$304,$A11,'Leave Log'!$C$5:$C$304,"&lt;="&amp;AB$5,'Leave Log'!$D$5:$D$304,"&gt;="&amp;AB$5,'Leave Log'!$F$5:$F$304,"&lt;&gt;Rejected",'Leave Log'!$B$5:$B$304,"AL")&gt;0,"AL",IF(COUNTIFS('Leave Log'!$A$5:$A$304,$A11,'Leave Log'!$C$5:$C$304,"&lt;="&amp;AB$5,'Leave Log'!$D$5:$D$304,"&gt;="&amp;AB$5,'Leave Log'!$F$5:$F$304,"&lt;&gt;Rejected",'Leave Log'!$B$5:$B$304,"SL")&gt;0,"SL",IF(COUNTIFS('Leave Log'!$A$5:$A$304,$A11,'Leave Log'!$C$5:$C$304,"&lt;="&amp;AB$5,'Leave Log'!$D$5:$D$304,"&gt;="&amp;AB$5,'Leave Log'!$F$5:$F$304,"&lt;&gt;Rejected",'Leave Log'!$B$5:$B$304,"CL")&gt;0,"CL",IF(COUNTIFS('Leave Log'!$A$5:$A$304,$A11,'Leave Log'!$C$5:$C$304,"&lt;="&amp;AB$5,'Leave Log'!$D$5:$D$304,"&gt;="&amp;AB$5,'Leave Log'!$F$5:$F$304,"&lt;&gt;Rejected",'Leave Log'!$B$5:$B$304,"UL")&gt;0,"UL",IF(COUNTIFS('Leave Log'!$A$5:$A$304,$A11,'Leave Log'!$C$5:$C$304,"&lt;="&amp;AB$5,'Leave Log'!$D$5:$D$304,"&gt;="&amp;AB$5,'Leave Log'!$F$5:$F$304,"&lt;&gt;Rejected",'Leave Log'!$B$5:$B$304,"OT")&gt;0,"OT",""))))))</f>
        <v>AL</v>
      </c>
      <c r="AC11" s="12" t="str">
        <f aca="false">IF(OR(AC$5="",$A11=""),"",IF(COUNTIFS('Leave Log'!$A$5:$A$304,$A11,'Leave Log'!$C$5:$C$304,"&lt;="&amp;AC$5,'Leave Log'!$D$5:$D$304,"&gt;="&amp;AC$5,'Leave Log'!$F$5:$F$304,"&lt;&gt;Rejected",'Leave Log'!$B$5:$B$304,"AL")&gt;0,"AL",IF(COUNTIFS('Leave Log'!$A$5:$A$304,$A11,'Leave Log'!$C$5:$C$304,"&lt;="&amp;AC$5,'Leave Log'!$D$5:$D$304,"&gt;="&amp;AC$5,'Leave Log'!$F$5:$F$304,"&lt;&gt;Rejected",'Leave Log'!$B$5:$B$304,"SL")&gt;0,"SL",IF(COUNTIFS('Leave Log'!$A$5:$A$304,$A11,'Leave Log'!$C$5:$C$304,"&lt;="&amp;AC$5,'Leave Log'!$D$5:$D$304,"&gt;="&amp;AC$5,'Leave Log'!$F$5:$F$304,"&lt;&gt;Rejected",'Leave Log'!$B$5:$B$304,"CL")&gt;0,"CL",IF(COUNTIFS('Leave Log'!$A$5:$A$304,$A11,'Leave Log'!$C$5:$C$304,"&lt;="&amp;AC$5,'Leave Log'!$D$5:$D$304,"&gt;="&amp;AC$5,'Leave Log'!$F$5:$F$304,"&lt;&gt;Rejected",'Leave Log'!$B$5:$B$304,"UL")&gt;0,"UL",IF(COUNTIFS('Leave Log'!$A$5:$A$304,$A11,'Leave Log'!$C$5:$C$304,"&lt;="&amp;AC$5,'Leave Log'!$D$5:$D$304,"&gt;="&amp;AC$5,'Leave Log'!$F$5:$F$304,"&lt;&gt;Rejected",'Leave Log'!$B$5:$B$304,"OT")&gt;0,"OT",""))))))</f>
        <v>AL</v>
      </c>
      <c r="AD11" s="12" t="str">
        <f aca="false">IF(OR(AD$5="",$A11=""),"",IF(COUNTIFS('Leave Log'!$A$5:$A$304,$A11,'Leave Log'!$C$5:$C$304,"&lt;="&amp;AD$5,'Leave Log'!$D$5:$D$304,"&gt;="&amp;AD$5,'Leave Log'!$F$5:$F$304,"&lt;&gt;Rejected",'Leave Log'!$B$5:$B$304,"AL")&gt;0,"AL",IF(COUNTIFS('Leave Log'!$A$5:$A$304,$A11,'Leave Log'!$C$5:$C$304,"&lt;="&amp;AD$5,'Leave Log'!$D$5:$D$304,"&gt;="&amp;AD$5,'Leave Log'!$F$5:$F$304,"&lt;&gt;Rejected",'Leave Log'!$B$5:$B$304,"SL")&gt;0,"SL",IF(COUNTIFS('Leave Log'!$A$5:$A$304,$A11,'Leave Log'!$C$5:$C$304,"&lt;="&amp;AD$5,'Leave Log'!$D$5:$D$304,"&gt;="&amp;AD$5,'Leave Log'!$F$5:$F$304,"&lt;&gt;Rejected",'Leave Log'!$B$5:$B$304,"CL")&gt;0,"CL",IF(COUNTIFS('Leave Log'!$A$5:$A$304,$A11,'Leave Log'!$C$5:$C$304,"&lt;="&amp;AD$5,'Leave Log'!$D$5:$D$304,"&gt;="&amp;AD$5,'Leave Log'!$F$5:$F$304,"&lt;&gt;Rejected",'Leave Log'!$B$5:$B$304,"UL")&gt;0,"UL",IF(COUNTIFS('Leave Log'!$A$5:$A$304,$A11,'Leave Log'!$C$5:$C$304,"&lt;="&amp;AD$5,'Leave Log'!$D$5:$D$304,"&gt;="&amp;AD$5,'Leave Log'!$F$5:$F$304,"&lt;&gt;Rejected",'Leave Log'!$B$5:$B$304,"OT")&gt;0,"OT",""))))))</f>
        <v>AL</v>
      </c>
      <c r="AE11" s="12" t="str">
        <f aca="false">IF(OR(AE$5="",$A11=""),"",IF(COUNTIFS('Leave Log'!$A$5:$A$304,$A11,'Leave Log'!$C$5:$C$304,"&lt;="&amp;AE$5,'Leave Log'!$D$5:$D$304,"&gt;="&amp;AE$5,'Leave Log'!$F$5:$F$304,"&lt;&gt;Rejected",'Leave Log'!$B$5:$B$304,"AL")&gt;0,"AL",IF(COUNTIFS('Leave Log'!$A$5:$A$304,$A11,'Leave Log'!$C$5:$C$304,"&lt;="&amp;AE$5,'Leave Log'!$D$5:$D$304,"&gt;="&amp;AE$5,'Leave Log'!$F$5:$F$304,"&lt;&gt;Rejected",'Leave Log'!$B$5:$B$304,"SL")&gt;0,"SL",IF(COUNTIFS('Leave Log'!$A$5:$A$304,$A11,'Leave Log'!$C$5:$C$304,"&lt;="&amp;AE$5,'Leave Log'!$D$5:$D$304,"&gt;="&amp;AE$5,'Leave Log'!$F$5:$F$304,"&lt;&gt;Rejected",'Leave Log'!$B$5:$B$304,"CL")&gt;0,"CL",IF(COUNTIFS('Leave Log'!$A$5:$A$304,$A11,'Leave Log'!$C$5:$C$304,"&lt;="&amp;AE$5,'Leave Log'!$D$5:$D$304,"&gt;="&amp;AE$5,'Leave Log'!$F$5:$F$304,"&lt;&gt;Rejected",'Leave Log'!$B$5:$B$304,"UL")&gt;0,"UL",IF(COUNTIFS('Leave Log'!$A$5:$A$304,$A11,'Leave Log'!$C$5:$C$304,"&lt;="&amp;AE$5,'Leave Log'!$D$5:$D$304,"&gt;="&amp;AE$5,'Leave Log'!$F$5:$F$304,"&lt;&gt;Rejected",'Leave Log'!$B$5:$B$304,"OT")&gt;0,"OT",""))))))</f>
        <v/>
      </c>
      <c r="AF11" s="12" t="str">
        <f aca="false">IF(OR(AF$5="",$A11=""),"",IF(COUNTIFS('Leave Log'!$A$5:$A$304,$A11,'Leave Log'!$C$5:$C$304,"&lt;="&amp;AF$5,'Leave Log'!$D$5:$D$304,"&gt;="&amp;AF$5,'Leave Log'!$F$5:$F$304,"&lt;&gt;Rejected",'Leave Log'!$B$5:$B$304,"AL")&gt;0,"AL",IF(COUNTIFS('Leave Log'!$A$5:$A$304,$A11,'Leave Log'!$C$5:$C$304,"&lt;="&amp;AF$5,'Leave Log'!$D$5:$D$304,"&gt;="&amp;AF$5,'Leave Log'!$F$5:$F$304,"&lt;&gt;Rejected",'Leave Log'!$B$5:$B$304,"SL")&gt;0,"SL",IF(COUNTIFS('Leave Log'!$A$5:$A$304,$A11,'Leave Log'!$C$5:$C$304,"&lt;="&amp;AF$5,'Leave Log'!$D$5:$D$304,"&gt;="&amp;AF$5,'Leave Log'!$F$5:$F$304,"&lt;&gt;Rejected",'Leave Log'!$B$5:$B$304,"CL")&gt;0,"CL",IF(COUNTIFS('Leave Log'!$A$5:$A$304,$A11,'Leave Log'!$C$5:$C$304,"&lt;="&amp;AF$5,'Leave Log'!$D$5:$D$304,"&gt;="&amp;AF$5,'Leave Log'!$F$5:$F$304,"&lt;&gt;Rejected",'Leave Log'!$B$5:$B$304,"UL")&gt;0,"UL",IF(COUNTIFS('Leave Log'!$A$5:$A$304,$A11,'Leave Log'!$C$5:$C$304,"&lt;="&amp;AF$5,'Leave Log'!$D$5:$D$304,"&gt;="&amp;AF$5,'Leave Log'!$F$5:$F$304,"&lt;&gt;Rejected",'Leave Log'!$B$5:$B$304,"OT")&gt;0,"OT",""))))))</f>
        <v/>
      </c>
      <c r="AG11" s="12" t="str">
        <f aca="false">IF(OR(AG$5="",$A11=""),"",IF(COUNTIFS('Leave Log'!$A$5:$A$304,$A11,'Leave Log'!$C$5:$C$304,"&lt;="&amp;AG$5,'Leave Log'!$D$5:$D$304,"&gt;="&amp;AG$5,'Leave Log'!$F$5:$F$304,"&lt;&gt;Rejected",'Leave Log'!$B$5:$B$304,"AL")&gt;0,"AL",IF(COUNTIFS('Leave Log'!$A$5:$A$304,$A11,'Leave Log'!$C$5:$C$304,"&lt;="&amp;AG$5,'Leave Log'!$D$5:$D$304,"&gt;="&amp;AG$5,'Leave Log'!$F$5:$F$304,"&lt;&gt;Rejected",'Leave Log'!$B$5:$B$304,"SL")&gt;0,"SL",IF(COUNTIFS('Leave Log'!$A$5:$A$304,$A11,'Leave Log'!$C$5:$C$304,"&lt;="&amp;AG$5,'Leave Log'!$D$5:$D$304,"&gt;="&amp;AG$5,'Leave Log'!$F$5:$F$304,"&lt;&gt;Rejected",'Leave Log'!$B$5:$B$304,"CL")&gt;0,"CL",IF(COUNTIFS('Leave Log'!$A$5:$A$304,$A11,'Leave Log'!$C$5:$C$304,"&lt;="&amp;AG$5,'Leave Log'!$D$5:$D$304,"&gt;="&amp;AG$5,'Leave Log'!$F$5:$F$304,"&lt;&gt;Rejected",'Leave Log'!$B$5:$B$304,"UL")&gt;0,"UL",IF(COUNTIFS('Leave Log'!$A$5:$A$304,$A11,'Leave Log'!$C$5:$C$304,"&lt;="&amp;AG$5,'Leave Log'!$D$5:$D$304,"&gt;="&amp;AG$5,'Leave Log'!$F$5:$F$304,"&lt;&gt;Rejected",'Leave Log'!$B$5:$B$304,"OT")&gt;0,"OT",""))))))</f>
        <v/>
      </c>
    </row>
    <row r="12" customFormat="false" ht="15" hidden="false" customHeight="false" outlineLevel="0" collapsed="false">
      <c r="A12" s="3" t="str">
        <f aca="false">IF(Employees!B11="","",Employees!B11)</f>
        <v>Grace Lee</v>
      </c>
      <c r="B12" s="11" t="str">
        <f aca="false">IF(Employees!B11="","",Employees!C11)</f>
        <v>IT</v>
      </c>
      <c r="C12" s="12" t="str">
        <f aca="false">IF(OR(C$5="",$A12=""),"",IF(COUNTIFS('Leave Log'!$A$5:$A$304,$A12,'Leave Log'!$C$5:$C$304,"&lt;="&amp;C$5,'Leave Log'!$D$5:$D$304,"&gt;="&amp;C$5,'Leave Log'!$F$5:$F$304,"&lt;&gt;Rejected",'Leave Log'!$B$5:$B$304,"AL")&gt;0,"AL",IF(COUNTIFS('Leave Log'!$A$5:$A$304,$A12,'Leave Log'!$C$5:$C$304,"&lt;="&amp;C$5,'Leave Log'!$D$5:$D$304,"&gt;="&amp;C$5,'Leave Log'!$F$5:$F$304,"&lt;&gt;Rejected",'Leave Log'!$B$5:$B$304,"SL")&gt;0,"SL",IF(COUNTIFS('Leave Log'!$A$5:$A$304,$A12,'Leave Log'!$C$5:$C$304,"&lt;="&amp;C$5,'Leave Log'!$D$5:$D$304,"&gt;="&amp;C$5,'Leave Log'!$F$5:$F$304,"&lt;&gt;Rejected",'Leave Log'!$B$5:$B$304,"CL")&gt;0,"CL",IF(COUNTIFS('Leave Log'!$A$5:$A$304,$A12,'Leave Log'!$C$5:$C$304,"&lt;="&amp;C$5,'Leave Log'!$D$5:$D$304,"&gt;="&amp;C$5,'Leave Log'!$F$5:$F$304,"&lt;&gt;Rejected",'Leave Log'!$B$5:$B$304,"UL")&gt;0,"UL",IF(COUNTIFS('Leave Log'!$A$5:$A$304,$A12,'Leave Log'!$C$5:$C$304,"&lt;="&amp;C$5,'Leave Log'!$D$5:$D$304,"&gt;="&amp;C$5,'Leave Log'!$F$5:$F$304,"&lt;&gt;Rejected",'Leave Log'!$B$5:$B$304,"OT")&gt;0,"OT",""))))))</f>
        <v/>
      </c>
      <c r="D12" s="12" t="str">
        <f aca="false">IF(OR(D$5="",$A12=""),"",IF(COUNTIFS('Leave Log'!$A$5:$A$304,$A12,'Leave Log'!$C$5:$C$304,"&lt;="&amp;D$5,'Leave Log'!$D$5:$D$304,"&gt;="&amp;D$5,'Leave Log'!$F$5:$F$304,"&lt;&gt;Rejected",'Leave Log'!$B$5:$B$304,"AL")&gt;0,"AL",IF(COUNTIFS('Leave Log'!$A$5:$A$304,$A12,'Leave Log'!$C$5:$C$304,"&lt;="&amp;D$5,'Leave Log'!$D$5:$D$304,"&gt;="&amp;D$5,'Leave Log'!$F$5:$F$304,"&lt;&gt;Rejected",'Leave Log'!$B$5:$B$304,"SL")&gt;0,"SL",IF(COUNTIFS('Leave Log'!$A$5:$A$304,$A12,'Leave Log'!$C$5:$C$304,"&lt;="&amp;D$5,'Leave Log'!$D$5:$D$304,"&gt;="&amp;D$5,'Leave Log'!$F$5:$F$304,"&lt;&gt;Rejected",'Leave Log'!$B$5:$B$304,"CL")&gt;0,"CL",IF(COUNTIFS('Leave Log'!$A$5:$A$304,$A12,'Leave Log'!$C$5:$C$304,"&lt;="&amp;D$5,'Leave Log'!$D$5:$D$304,"&gt;="&amp;D$5,'Leave Log'!$F$5:$F$304,"&lt;&gt;Rejected",'Leave Log'!$B$5:$B$304,"UL")&gt;0,"UL",IF(COUNTIFS('Leave Log'!$A$5:$A$304,$A12,'Leave Log'!$C$5:$C$304,"&lt;="&amp;D$5,'Leave Log'!$D$5:$D$304,"&gt;="&amp;D$5,'Leave Log'!$F$5:$F$304,"&lt;&gt;Rejected",'Leave Log'!$B$5:$B$304,"OT")&gt;0,"OT",""))))))</f>
        <v/>
      </c>
      <c r="E12" s="12" t="str">
        <f aca="false">IF(OR(E$5="",$A12=""),"",IF(COUNTIFS('Leave Log'!$A$5:$A$304,$A12,'Leave Log'!$C$5:$C$304,"&lt;="&amp;E$5,'Leave Log'!$D$5:$D$304,"&gt;="&amp;E$5,'Leave Log'!$F$5:$F$304,"&lt;&gt;Rejected",'Leave Log'!$B$5:$B$304,"AL")&gt;0,"AL",IF(COUNTIFS('Leave Log'!$A$5:$A$304,$A12,'Leave Log'!$C$5:$C$304,"&lt;="&amp;E$5,'Leave Log'!$D$5:$D$304,"&gt;="&amp;E$5,'Leave Log'!$F$5:$F$304,"&lt;&gt;Rejected",'Leave Log'!$B$5:$B$304,"SL")&gt;0,"SL",IF(COUNTIFS('Leave Log'!$A$5:$A$304,$A12,'Leave Log'!$C$5:$C$304,"&lt;="&amp;E$5,'Leave Log'!$D$5:$D$304,"&gt;="&amp;E$5,'Leave Log'!$F$5:$F$304,"&lt;&gt;Rejected",'Leave Log'!$B$5:$B$304,"CL")&gt;0,"CL",IF(COUNTIFS('Leave Log'!$A$5:$A$304,$A12,'Leave Log'!$C$5:$C$304,"&lt;="&amp;E$5,'Leave Log'!$D$5:$D$304,"&gt;="&amp;E$5,'Leave Log'!$F$5:$F$304,"&lt;&gt;Rejected",'Leave Log'!$B$5:$B$304,"UL")&gt;0,"UL",IF(COUNTIFS('Leave Log'!$A$5:$A$304,$A12,'Leave Log'!$C$5:$C$304,"&lt;="&amp;E$5,'Leave Log'!$D$5:$D$304,"&gt;="&amp;E$5,'Leave Log'!$F$5:$F$304,"&lt;&gt;Rejected",'Leave Log'!$B$5:$B$304,"OT")&gt;0,"OT",""))))))</f>
        <v/>
      </c>
      <c r="F12" s="12" t="str">
        <f aca="false">IF(OR(F$5="",$A12=""),"",IF(COUNTIFS('Leave Log'!$A$5:$A$304,$A12,'Leave Log'!$C$5:$C$304,"&lt;="&amp;F$5,'Leave Log'!$D$5:$D$304,"&gt;="&amp;F$5,'Leave Log'!$F$5:$F$304,"&lt;&gt;Rejected",'Leave Log'!$B$5:$B$304,"AL")&gt;0,"AL",IF(COUNTIFS('Leave Log'!$A$5:$A$304,$A12,'Leave Log'!$C$5:$C$304,"&lt;="&amp;F$5,'Leave Log'!$D$5:$D$304,"&gt;="&amp;F$5,'Leave Log'!$F$5:$F$304,"&lt;&gt;Rejected",'Leave Log'!$B$5:$B$304,"SL")&gt;0,"SL",IF(COUNTIFS('Leave Log'!$A$5:$A$304,$A12,'Leave Log'!$C$5:$C$304,"&lt;="&amp;F$5,'Leave Log'!$D$5:$D$304,"&gt;="&amp;F$5,'Leave Log'!$F$5:$F$304,"&lt;&gt;Rejected",'Leave Log'!$B$5:$B$304,"CL")&gt;0,"CL",IF(COUNTIFS('Leave Log'!$A$5:$A$304,$A12,'Leave Log'!$C$5:$C$304,"&lt;="&amp;F$5,'Leave Log'!$D$5:$D$304,"&gt;="&amp;F$5,'Leave Log'!$F$5:$F$304,"&lt;&gt;Rejected",'Leave Log'!$B$5:$B$304,"UL")&gt;0,"UL",IF(COUNTIFS('Leave Log'!$A$5:$A$304,$A12,'Leave Log'!$C$5:$C$304,"&lt;="&amp;F$5,'Leave Log'!$D$5:$D$304,"&gt;="&amp;F$5,'Leave Log'!$F$5:$F$304,"&lt;&gt;Rejected",'Leave Log'!$B$5:$B$304,"OT")&gt;0,"OT",""))))))</f>
        <v/>
      </c>
      <c r="G12" s="12" t="str">
        <f aca="false">IF(OR(G$5="",$A12=""),"",IF(COUNTIFS('Leave Log'!$A$5:$A$304,$A12,'Leave Log'!$C$5:$C$304,"&lt;="&amp;G$5,'Leave Log'!$D$5:$D$304,"&gt;="&amp;G$5,'Leave Log'!$F$5:$F$304,"&lt;&gt;Rejected",'Leave Log'!$B$5:$B$304,"AL")&gt;0,"AL",IF(COUNTIFS('Leave Log'!$A$5:$A$304,$A12,'Leave Log'!$C$5:$C$304,"&lt;="&amp;G$5,'Leave Log'!$D$5:$D$304,"&gt;="&amp;G$5,'Leave Log'!$F$5:$F$304,"&lt;&gt;Rejected",'Leave Log'!$B$5:$B$304,"SL")&gt;0,"SL",IF(COUNTIFS('Leave Log'!$A$5:$A$304,$A12,'Leave Log'!$C$5:$C$304,"&lt;="&amp;G$5,'Leave Log'!$D$5:$D$304,"&gt;="&amp;G$5,'Leave Log'!$F$5:$F$304,"&lt;&gt;Rejected",'Leave Log'!$B$5:$B$304,"CL")&gt;0,"CL",IF(COUNTIFS('Leave Log'!$A$5:$A$304,$A12,'Leave Log'!$C$5:$C$304,"&lt;="&amp;G$5,'Leave Log'!$D$5:$D$304,"&gt;="&amp;G$5,'Leave Log'!$F$5:$F$304,"&lt;&gt;Rejected",'Leave Log'!$B$5:$B$304,"UL")&gt;0,"UL",IF(COUNTIFS('Leave Log'!$A$5:$A$304,$A12,'Leave Log'!$C$5:$C$304,"&lt;="&amp;G$5,'Leave Log'!$D$5:$D$304,"&gt;="&amp;G$5,'Leave Log'!$F$5:$F$304,"&lt;&gt;Rejected",'Leave Log'!$B$5:$B$304,"OT")&gt;0,"OT",""))))))</f>
        <v/>
      </c>
      <c r="H12" s="12" t="str">
        <f aca="false">IF(OR(H$5="",$A12=""),"",IF(COUNTIFS('Leave Log'!$A$5:$A$304,$A12,'Leave Log'!$C$5:$C$304,"&lt;="&amp;H$5,'Leave Log'!$D$5:$D$304,"&gt;="&amp;H$5,'Leave Log'!$F$5:$F$304,"&lt;&gt;Rejected",'Leave Log'!$B$5:$B$304,"AL")&gt;0,"AL",IF(COUNTIFS('Leave Log'!$A$5:$A$304,$A12,'Leave Log'!$C$5:$C$304,"&lt;="&amp;H$5,'Leave Log'!$D$5:$D$304,"&gt;="&amp;H$5,'Leave Log'!$F$5:$F$304,"&lt;&gt;Rejected",'Leave Log'!$B$5:$B$304,"SL")&gt;0,"SL",IF(COUNTIFS('Leave Log'!$A$5:$A$304,$A12,'Leave Log'!$C$5:$C$304,"&lt;="&amp;H$5,'Leave Log'!$D$5:$D$304,"&gt;="&amp;H$5,'Leave Log'!$F$5:$F$304,"&lt;&gt;Rejected",'Leave Log'!$B$5:$B$304,"CL")&gt;0,"CL",IF(COUNTIFS('Leave Log'!$A$5:$A$304,$A12,'Leave Log'!$C$5:$C$304,"&lt;="&amp;H$5,'Leave Log'!$D$5:$D$304,"&gt;="&amp;H$5,'Leave Log'!$F$5:$F$304,"&lt;&gt;Rejected",'Leave Log'!$B$5:$B$304,"UL")&gt;0,"UL",IF(COUNTIFS('Leave Log'!$A$5:$A$304,$A12,'Leave Log'!$C$5:$C$304,"&lt;="&amp;H$5,'Leave Log'!$D$5:$D$304,"&gt;="&amp;H$5,'Leave Log'!$F$5:$F$304,"&lt;&gt;Rejected",'Leave Log'!$B$5:$B$304,"OT")&gt;0,"OT",""))))))</f>
        <v/>
      </c>
      <c r="I12" s="12" t="str">
        <f aca="false">IF(OR(I$5="",$A12=""),"",IF(COUNTIFS('Leave Log'!$A$5:$A$304,$A12,'Leave Log'!$C$5:$C$304,"&lt;="&amp;I$5,'Leave Log'!$D$5:$D$304,"&gt;="&amp;I$5,'Leave Log'!$F$5:$F$304,"&lt;&gt;Rejected",'Leave Log'!$B$5:$B$304,"AL")&gt;0,"AL",IF(COUNTIFS('Leave Log'!$A$5:$A$304,$A12,'Leave Log'!$C$5:$C$304,"&lt;="&amp;I$5,'Leave Log'!$D$5:$D$304,"&gt;="&amp;I$5,'Leave Log'!$F$5:$F$304,"&lt;&gt;Rejected",'Leave Log'!$B$5:$B$304,"SL")&gt;0,"SL",IF(COUNTIFS('Leave Log'!$A$5:$A$304,$A12,'Leave Log'!$C$5:$C$304,"&lt;="&amp;I$5,'Leave Log'!$D$5:$D$304,"&gt;="&amp;I$5,'Leave Log'!$F$5:$F$304,"&lt;&gt;Rejected",'Leave Log'!$B$5:$B$304,"CL")&gt;0,"CL",IF(COUNTIFS('Leave Log'!$A$5:$A$304,$A12,'Leave Log'!$C$5:$C$304,"&lt;="&amp;I$5,'Leave Log'!$D$5:$D$304,"&gt;="&amp;I$5,'Leave Log'!$F$5:$F$304,"&lt;&gt;Rejected",'Leave Log'!$B$5:$B$304,"UL")&gt;0,"UL",IF(COUNTIFS('Leave Log'!$A$5:$A$304,$A12,'Leave Log'!$C$5:$C$304,"&lt;="&amp;I$5,'Leave Log'!$D$5:$D$304,"&gt;="&amp;I$5,'Leave Log'!$F$5:$F$304,"&lt;&gt;Rejected",'Leave Log'!$B$5:$B$304,"OT")&gt;0,"OT",""))))))</f>
        <v/>
      </c>
      <c r="J12" s="12" t="str">
        <f aca="false">IF(OR(J$5="",$A12=""),"",IF(COUNTIFS('Leave Log'!$A$5:$A$304,$A12,'Leave Log'!$C$5:$C$304,"&lt;="&amp;J$5,'Leave Log'!$D$5:$D$304,"&gt;="&amp;J$5,'Leave Log'!$F$5:$F$304,"&lt;&gt;Rejected",'Leave Log'!$B$5:$B$304,"AL")&gt;0,"AL",IF(COUNTIFS('Leave Log'!$A$5:$A$304,$A12,'Leave Log'!$C$5:$C$304,"&lt;="&amp;J$5,'Leave Log'!$D$5:$D$304,"&gt;="&amp;J$5,'Leave Log'!$F$5:$F$304,"&lt;&gt;Rejected",'Leave Log'!$B$5:$B$304,"SL")&gt;0,"SL",IF(COUNTIFS('Leave Log'!$A$5:$A$304,$A12,'Leave Log'!$C$5:$C$304,"&lt;="&amp;J$5,'Leave Log'!$D$5:$D$304,"&gt;="&amp;J$5,'Leave Log'!$F$5:$F$304,"&lt;&gt;Rejected",'Leave Log'!$B$5:$B$304,"CL")&gt;0,"CL",IF(COUNTIFS('Leave Log'!$A$5:$A$304,$A12,'Leave Log'!$C$5:$C$304,"&lt;="&amp;J$5,'Leave Log'!$D$5:$D$304,"&gt;="&amp;J$5,'Leave Log'!$F$5:$F$304,"&lt;&gt;Rejected",'Leave Log'!$B$5:$B$304,"UL")&gt;0,"UL",IF(COUNTIFS('Leave Log'!$A$5:$A$304,$A12,'Leave Log'!$C$5:$C$304,"&lt;="&amp;J$5,'Leave Log'!$D$5:$D$304,"&gt;="&amp;J$5,'Leave Log'!$F$5:$F$304,"&lt;&gt;Rejected",'Leave Log'!$B$5:$B$304,"OT")&gt;0,"OT",""))))))</f>
        <v/>
      </c>
      <c r="K12" s="12" t="str">
        <f aca="false">IF(OR(K$5="",$A12=""),"",IF(COUNTIFS('Leave Log'!$A$5:$A$304,$A12,'Leave Log'!$C$5:$C$304,"&lt;="&amp;K$5,'Leave Log'!$D$5:$D$304,"&gt;="&amp;K$5,'Leave Log'!$F$5:$F$304,"&lt;&gt;Rejected",'Leave Log'!$B$5:$B$304,"AL")&gt;0,"AL",IF(COUNTIFS('Leave Log'!$A$5:$A$304,$A12,'Leave Log'!$C$5:$C$304,"&lt;="&amp;K$5,'Leave Log'!$D$5:$D$304,"&gt;="&amp;K$5,'Leave Log'!$F$5:$F$304,"&lt;&gt;Rejected",'Leave Log'!$B$5:$B$304,"SL")&gt;0,"SL",IF(COUNTIFS('Leave Log'!$A$5:$A$304,$A12,'Leave Log'!$C$5:$C$304,"&lt;="&amp;K$5,'Leave Log'!$D$5:$D$304,"&gt;="&amp;K$5,'Leave Log'!$F$5:$F$304,"&lt;&gt;Rejected",'Leave Log'!$B$5:$B$304,"CL")&gt;0,"CL",IF(COUNTIFS('Leave Log'!$A$5:$A$304,$A12,'Leave Log'!$C$5:$C$304,"&lt;="&amp;K$5,'Leave Log'!$D$5:$D$304,"&gt;="&amp;K$5,'Leave Log'!$F$5:$F$304,"&lt;&gt;Rejected",'Leave Log'!$B$5:$B$304,"UL")&gt;0,"UL",IF(COUNTIFS('Leave Log'!$A$5:$A$304,$A12,'Leave Log'!$C$5:$C$304,"&lt;="&amp;K$5,'Leave Log'!$D$5:$D$304,"&gt;="&amp;K$5,'Leave Log'!$F$5:$F$304,"&lt;&gt;Rejected",'Leave Log'!$B$5:$B$304,"OT")&gt;0,"OT",""))))))</f>
        <v/>
      </c>
      <c r="L12" s="12" t="str">
        <f aca="false">IF(OR(L$5="",$A12=""),"",IF(COUNTIFS('Leave Log'!$A$5:$A$304,$A12,'Leave Log'!$C$5:$C$304,"&lt;="&amp;L$5,'Leave Log'!$D$5:$D$304,"&gt;="&amp;L$5,'Leave Log'!$F$5:$F$304,"&lt;&gt;Rejected",'Leave Log'!$B$5:$B$304,"AL")&gt;0,"AL",IF(COUNTIFS('Leave Log'!$A$5:$A$304,$A12,'Leave Log'!$C$5:$C$304,"&lt;="&amp;L$5,'Leave Log'!$D$5:$D$304,"&gt;="&amp;L$5,'Leave Log'!$F$5:$F$304,"&lt;&gt;Rejected",'Leave Log'!$B$5:$B$304,"SL")&gt;0,"SL",IF(COUNTIFS('Leave Log'!$A$5:$A$304,$A12,'Leave Log'!$C$5:$C$304,"&lt;="&amp;L$5,'Leave Log'!$D$5:$D$304,"&gt;="&amp;L$5,'Leave Log'!$F$5:$F$304,"&lt;&gt;Rejected",'Leave Log'!$B$5:$B$304,"CL")&gt;0,"CL",IF(COUNTIFS('Leave Log'!$A$5:$A$304,$A12,'Leave Log'!$C$5:$C$304,"&lt;="&amp;L$5,'Leave Log'!$D$5:$D$304,"&gt;="&amp;L$5,'Leave Log'!$F$5:$F$304,"&lt;&gt;Rejected",'Leave Log'!$B$5:$B$304,"UL")&gt;0,"UL",IF(COUNTIFS('Leave Log'!$A$5:$A$304,$A12,'Leave Log'!$C$5:$C$304,"&lt;="&amp;L$5,'Leave Log'!$D$5:$D$304,"&gt;="&amp;L$5,'Leave Log'!$F$5:$F$304,"&lt;&gt;Rejected",'Leave Log'!$B$5:$B$304,"OT")&gt;0,"OT",""))))))</f>
        <v/>
      </c>
      <c r="M12" s="12" t="str">
        <f aca="false">IF(OR(M$5="",$A12=""),"",IF(COUNTIFS('Leave Log'!$A$5:$A$304,$A12,'Leave Log'!$C$5:$C$304,"&lt;="&amp;M$5,'Leave Log'!$D$5:$D$304,"&gt;="&amp;M$5,'Leave Log'!$F$5:$F$304,"&lt;&gt;Rejected",'Leave Log'!$B$5:$B$304,"AL")&gt;0,"AL",IF(COUNTIFS('Leave Log'!$A$5:$A$304,$A12,'Leave Log'!$C$5:$C$304,"&lt;="&amp;M$5,'Leave Log'!$D$5:$D$304,"&gt;="&amp;M$5,'Leave Log'!$F$5:$F$304,"&lt;&gt;Rejected",'Leave Log'!$B$5:$B$304,"SL")&gt;0,"SL",IF(COUNTIFS('Leave Log'!$A$5:$A$304,$A12,'Leave Log'!$C$5:$C$304,"&lt;="&amp;M$5,'Leave Log'!$D$5:$D$304,"&gt;="&amp;M$5,'Leave Log'!$F$5:$F$304,"&lt;&gt;Rejected",'Leave Log'!$B$5:$B$304,"CL")&gt;0,"CL",IF(COUNTIFS('Leave Log'!$A$5:$A$304,$A12,'Leave Log'!$C$5:$C$304,"&lt;="&amp;M$5,'Leave Log'!$D$5:$D$304,"&gt;="&amp;M$5,'Leave Log'!$F$5:$F$304,"&lt;&gt;Rejected",'Leave Log'!$B$5:$B$304,"UL")&gt;0,"UL",IF(COUNTIFS('Leave Log'!$A$5:$A$304,$A12,'Leave Log'!$C$5:$C$304,"&lt;="&amp;M$5,'Leave Log'!$D$5:$D$304,"&gt;="&amp;M$5,'Leave Log'!$F$5:$F$304,"&lt;&gt;Rejected",'Leave Log'!$B$5:$B$304,"OT")&gt;0,"OT",""))))))</f>
        <v/>
      </c>
      <c r="N12" s="12" t="str">
        <f aca="false">IF(OR(N$5="",$A12=""),"",IF(COUNTIFS('Leave Log'!$A$5:$A$304,$A12,'Leave Log'!$C$5:$C$304,"&lt;="&amp;N$5,'Leave Log'!$D$5:$D$304,"&gt;="&amp;N$5,'Leave Log'!$F$5:$F$304,"&lt;&gt;Rejected",'Leave Log'!$B$5:$B$304,"AL")&gt;0,"AL",IF(COUNTIFS('Leave Log'!$A$5:$A$304,$A12,'Leave Log'!$C$5:$C$304,"&lt;="&amp;N$5,'Leave Log'!$D$5:$D$304,"&gt;="&amp;N$5,'Leave Log'!$F$5:$F$304,"&lt;&gt;Rejected",'Leave Log'!$B$5:$B$304,"SL")&gt;0,"SL",IF(COUNTIFS('Leave Log'!$A$5:$A$304,$A12,'Leave Log'!$C$5:$C$304,"&lt;="&amp;N$5,'Leave Log'!$D$5:$D$304,"&gt;="&amp;N$5,'Leave Log'!$F$5:$F$304,"&lt;&gt;Rejected",'Leave Log'!$B$5:$B$304,"CL")&gt;0,"CL",IF(COUNTIFS('Leave Log'!$A$5:$A$304,$A12,'Leave Log'!$C$5:$C$304,"&lt;="&amp;N$5,'Leave Log'!$D$5:$D$304,"&gt;="&amp;N$5,'Leave Log'!$F$5:$F$304,"&lt;&gt;Rejected",'Leave Log'!$B$5:$B$304,"UL")&gt;0,"UL",IF(COUNTIFS('Leave Log'!$A$5:$A$304,$A12,'Leave Log'!$C$5:$C$304,"&lt;="&amp;N$5,'Leave Log'!$D$5:$D$304,"&gt;="&amp;N$5,'Leave Log'!$F$5:$F$304,"&lt;&gt;Rejected",'Leave Log'!$B$5:$B$304,"OT")&gt;0,"OT",""))))))</f>
        <v/>
      </c>
      <c r="O12" s="12" t="str">
        <f aca="false">IF(OR(O$5="",$A12=""),"",IF(COUNTIFS('Leave Log'!$A$5:$A$304,$A12,'Leave Log'!$C$5:$C$304,"&lt;="&amp;O$5,'Leave Log'!$D$5:$D$304,"&gt;="&amp;O$5,'Leave Log'!$F$5:$F$304,"&lt;&gt;Rejected",'Leave Log'!$B$5:$B$304,"AL")&gt;0,"AL",IF(COUNTIFS('Leave Log'!$A$5:$A$304,$A12,'Leave Log'!$C$5:$C$304,"&lt;="&amp;O$5,'Leave Log'!$D$5:$D$304,"&gt;="&amp;O$5,'Leave Log'!$F$5:$F$304,"&lt;&gt;Rejected",'Leave Log'!$B$5:$B$304,"SL")&gt;0,"SL",IF(COUNTIFS('Leave Log'!$A$5:$A$304,$A12,'Leave Log'!$C$5:$C$304,"&lt;="&amp;O$5,'Leave Log'!$D$5:$D$304,"&gt;="&amp;O$5,'Leave Log'!$F$5:$F$304,"&lt;&gt;Rejected",'Leave Log'!$B$5:$B$304,"CL")&gt;0,"CL",IF(COUNTIFS('Leave Log'!$A$5:$A$304,$A12,'Leave Log'!$C$5:$C$304,"&lt;="&amp;O$5,'Leave Log'!$D$5:$D$304,"&gt;="&amp;O$5,'Leave Log'!$F$5:$F$304,"&lt;&gt;Rejected",'Leave Log'!$B$5:$B$304,"UL")&gt;0,"UL",IF(COUNTIFS('Leave Log'!$A$5:$A$304,$A12,'Leave Log'!$C$5:$C$304,"&lt;="&amp;O$5,'Leave Log'!$D$5:$D$304,"&gt;="&amp;O$5,'Leave Log'!$F$5:$F$304,"&lt;&gt;Rejected",'Leave Log'!$B$5:$B$304,"OT")&gt;0,"OT",""))))))</f>
        <v/>
      </c>
      <c r="P12" s="12" t="str">
        <f aca="false">IF(OR(P$5="",$A12=""),"",IF(COUNTIFS('Leave Log'!$A$5:$A$304,$A12,'Leave Log'!$C$5:$C$304,"&lt;="&amp;P$5,'Leave Log'!$D$5:$D$304,"&gt;="&amp;P$5,'Leave Log'!$F$5:$F$304,"&lt;&gt;Rejected",'Leave Log'!$B$5:$B$304,"AL")&gt;0,"AL",IF(COUNTIFS('Leave Log'!$A$5:$A$304,$A12,'Leave Log'!$C$5:$C$304,"&lt;="&amp;P$5,'Leave Log'!$D$5:$D$304,"&gt;="&amp;P$5,'Leave Log'!$F$5:$F$304,"&lt;&gt;Rejected",'Leave Log'!$B$5:$B$304,"SL")&gt;0,"SL",IF(COUNTIFS('Leave Log'!$A$5:$A$304,$A12,'Leave Log'!$C$5:$C$304,"&lt;="&amp;P$5,'Leave Log'!$D$5:$D$304,"&gt;="&amp;P$5,'Leave Log'!$F$5:$F$304,"&lt;&gt;Rejected",'Leave Log'!$B$5:$B$304,"CL")&gt;0,"CL",IF(COUNTIFS('Leave Log'!$A$5:$A$304,$A12,'Leave Log'!$C$5:$C$304,"&lt;="&amp;P$5,'Leave Log'!$D$5:$D$304,"&gt;="&amp;P$5,'Leave Log'!$F$5:$F$304,"&lt;&gt;Rejected",'Leave Log'!$B$5:$B$304,"UL")&gt;0,"UL",IF(COUNTIFS('Leave Log'!$A$5:$A$304,$A12,'Leave Log'!$C$5:$C$304,"&lt;="&amp;P$5,'Leave Log'!$D$5:$D$304,"&gt;="&amp;P$5,'Leave Log'!$F$5:$F$304,"&lt;&gt;Rejected",'Leave Log'!$B$5:$B$304,"OT")&gt;0,"OT",""))))))</f>
        <v/>
      </c>
      <c r="Q12" s="12" t="str">
        <f aca="false">IF(OR(Q$5="",$A12=""),"",IF(COUNTIFS('Leave Log'!$A$5:$A$304,$A12,'Leave Log'!$C$5:$C$304,"&lt;="&amp;Q$5,'Leave Log'!$D$5:$D$304,"&gt;="&amp;Q$5,'Leave Log'!$F$5:$F$304,"&lt;&gt;Rejected",'Leave Log'!$B$5:$B$304,"AL")&gt;0,"AL",IF(COUNTIFS('Leave Log'!$A$5:$A$304,$A12,'Leave Log'!$C$5:$C$304,"&lt;="&amp;Q$5,'Leave Log'!$D$5:$D$304,"&gt;="&amp;Q$5,'Leave Log'!$F$5:$F$304,"&lt;&gt;Rejected",'Leave Log'!$B$5:$B$304,"SL")&gt;0,"SL",IF(COUNTIFS('Leave Log'!$A$5:$A$304,$A12,'Leave Log'!$C$5:$C$304,"&lt;="&amp;Q$5,'Leave Log'!$D$5:$D$304,"&gt;="&amp;Q$5,'Leave Log'!$F$5:$F$304,"&lt;&gt;Rejected",'Leave Log'!$B$5:$B$304,"CL")&gt;0,"CL",IF(COUNTIFS('Leave Log'!$A$5:$A$304,$A12,'Leave Log'!$C$5:$C$304,"&lt;="&amp;Q$5,'Leave Log'!$D$5:$D$304,"&gt;="&amp;Q$5,'Leave Log'!$F$5:$F$304,"&lt;&gt;Rejected",'Leave Log'!$B$5:$B$304,"UL")&gt;0,"UL",IF(COUNTIFS('Leave Log'!$A$5:$A$304,$A12,'Leave Log'!$C$5:$C$304,"&lt;="&amp;Q$5,'Leave Log'!$D$5:$D$304,"&gt;="&amp;Q$5,'Leave Log'!$F$5:$F$304,"&lt;&gt;Rejected",'Leave Log'!$B$5:$B$304,"OT")&gt;0,"OT",""))))))</f>
        <v/>
      </c>
      <c r="R12" s="12" t="str">
        <f aca="false">IF(OR(R$5="",$A12=""),"",IF(COUNTIFS('Leave Log'!$A$5:$A$304,$A12,'Leave Log'!$C$5:$C$304,"&lt;="&amp;R$5,'Leave Log'!$D$5:$D$304,"&gt;="&amp;R$5,'Leave Log'!$F$5:$F$304,"&lt;&gt;Rejected",'Leave Log'!$B$5:$B$304,"AL")&gt;0,"AL",IF(COUNTIFS('Leave Log'!$A$5:$A$304,$A12,'Leave Log'!$C$5:$C$304,"&lt;="&amp;R$5,'Leave Log'!$D$5:$D$304,"&gt;="&amp;R$5,'Leave Log'!$F$5:$F$304,"&lt;&gt;Rejected",'Leave Log'!$B$5:$B$304,"SL")&gt;0,"SL",IF(COUNTIFS('Leave Log'!$A$5:$A$304,$A12,'Leave Log'!$C$5:$C$304,"&lt;="&amp;R$5,'Leave Log'!$D$5:$D$304,"&gt;="&amp;R$5,'Leave Log'!$F$5:$F$304,"&lt;&gt;Rejected",'Leave Log'!$B$5:$B$304,"CL")&gt;0,"CL",IF(COUNTIFS('Leave Log'!$A$5:$A$304,$A12,'Leave Log'!$C$5:$C$304,"&lt;="&amp;R$5,'Leave Log'!$D$5:$D$304,"&gt;="&amp;R$5,'Leave Log'!$F$5:$F$304,"&lt;&gt;Rejected",'Leave Log'!$B$5:$B$304,"UL")&gt;0,"UL",IF(COUNTIFS('Leave Log'!$A$5:$A$304,$A12,'Leave Log'!$C$5:$C$304,"&lt;="&amp;R$5,'Leave Log'!$D$5:$D$304,"&gt;="&amp;R$5,'Leave Log'!$F$5:$F$304,"&lt;&gt;Rejected",'Leave Log'!$B$5:$B$304,"OT")&gt;0,"OT",""))))))</f>
        <v/>
      </c>
      <c r="S12" s="12" t="str">
        <f aca="false">IF(OR(S$5="",$A12=""),"",IF(COUNTIFS('Leave Log'!$A$5:$A$304,$A12,'Leave Log'!$C$5:$C$304,"&lt;="&amp;S$5,'Leave Log'!$D$5:$D$304,"&gt;="&amp;S$5,'Leave Log'!$F$5:$F$304,"&lt;&gt;Rejected",'Leave Log'!$B$5:$B$304,"AL")&gt;0,"AL",IF(COUNTIFS('Leave Log'!$A$5:$A$304,$A12,'Leave Log'!$C$5:$C$304,"&lt;="&amp;S$5,'Leave Log'!$D$5:$D$304,"&gt;="&amp;S$5,'Leave Log'!$F$5:$F$304,"&lt;&gt;Rejected",'Leave Log'!$B$5:$B$304,"SL")&gt;0,"SL",IF(COUNTIFS('Leave Log'!$A$5:$A$304,$A12,'Leave Log'!$C$5:$C$304,"&lt;="&amp;S$5,'Leave Log'!$D$5:$D$304,"&gt;="&amp;S$5,'Leave Log'!$F$5:$F$304,"&lt;&gt;Rejected",'Leave Log'!$B$5:$B$304,"CL")&gt;0,"CL",IF(COUNTIFS('Leave Log'!$A$5:$A$304,$A12,'Leave Log'!$C$5:$C$304,"&lt;="&amp;S$5,'Leave Log'!$D$5:$D$304,"&gt;="&amp;S$5,'Leave Log'!$F$5:$F$304,"&lt;&gt;Rejected",'Leave Log'!$B$5:$B$304,"UL")&gt;0,"UL",IF(COUNTIFS('Leave Log'!$A$5:$A$304,$A12,'Leave Log'!$C$5:$C$304,"&lt;="&amp;S$5,'Leave Log'!$D$5:$D$304,"&gt;="&amp;S$5,'Leave Log'!$F$5:$F$304,"&lt;&gt;Rejected",'Leave Log'!$B$5:$B$304,"OT")&gt;0,"OT",""))))))</f>
        <v/>
      </c>
      <c r="T12" s="12" t="str">
        <f aca="false">IF(OR(T$5="",$A12=""),"",IF(COUNTIFS('Leave Log'!$A$5:$A$304,$A12,'Leave Log'!$C$5:$C$304,"&lt;="&amp;T$5,'Leave Log'!$D$5:$D$304,"&gt;="&amp;T$5,'Leave Log'!$F$5:$F$304,"&lt;&gt;Rejected",'Leave Log'!$B$5:$B$304,"AL")&gt;0,"AL",IF(COUNTIFS('Leave Log'!$A$5:$A$304,$A12,'Leave Log'!$C$5:$C$304,"&lt;="&amp;T$5,'Leave Log'!$D$5:$D$304,"&gt;="&amp;T$5,'Leave Log'!$F$5:$F$304,"&lt;&gt;Rejected",'Leave Log'!$B$5:$B$304,"SL")&gt;0,"SL",IF(COUNTIFS('Leave Log'!$A$5:$A$304,$A12,'Leave Log'!$C$5:$C$304,"&lt;="&amp;T$5,'Leave Log'!$D$5:$D$304,"&gt;="&amp;T$5,'Leave Log'!$F$5:$F$304,"&lt;&gt;Rejected",'Leave Log'!$B$5:$B$304,"CL")&gt;0,"CL",IF(COUNTIFS('Leave Log'!$A$5:$A$304,$A12,'Leave Log'!$C$5:$C$304,"&lt;="&amp;T$5,'Leave Log'!$D$5:$D$304,"&gt;="&amp;T$5,'Leave Log'!$F$5:$F$304,"&lt;&gt;Rejected",'Leave Log'!$B$5:$B$304,"UL")&gt;0,"UL",IF(COUNTIFS('Leave Log'!$A$5:$A$304,$A12,'Leave Log'!$C$5:$C$304,"&lt;="&amp;T$5,'Leave Log'!$D$5:$D$304,"&gt;="&amp;T$5,'Leave Log'!$F$5:$F$304,"&lt;&gt;Rejected",'Leave Log'!$B$5:$B$304,"OT")&gt;0,"OT",""))))))</f>
        <v/>
      </c>
      <c r="U12" s="12" t="str">
        <f aca="false">IF(OR(U$5="",$A12=""),"",IF(COUNTIFS('Leave Log'!$A$5:$A$304,$A12,'Leave Log'!$C$5:$C$304,"&lt;="&amp;U$5,'Leave Log'!$D$5:$D$304,"&gt;="&amp;U$5,'Leave Log'!$F$5:$F$304,"&lt;&gt;Rejected",'Leave Log'!$B$5:$B$304,"AL")&gt;0,"AL",IF(COUNTIFS('Leave Log'!$A$5:$A$304,$A12,'Leave Log'!$C$5:$C$304,"&lt;="&amp;U$5,'Leave Log'!$D$5:$D$304,"&gt;="&amp;U$5,'Leave Log'!$F$5:$F$304,"&lt;&gt;Rejected",'Leave Log'!$B$5:$B$304,"SL")&gt;0,"SL",IF(COUNTIFS('Leave Log'!$A$5:$A$304,$A12,'Leave Log'!$C$5:$C$304,"&lt;="&amp;U$5,'Leave Log'!$D$5:$D$304,"&gt;="&amp;U$5,'Leave Log'!$F$5:$F$304,"&lt;&gt;Rejected",'Leave Log'!$B$5:$B$304,"CL")&gt;0,"CL",IF(COUNTIFS('Leave Log'!$A$5:$A$304,$A12,'Leave Log'!$C$5:$C$304,"&lt;="&amp;U$5,'Leave Log'!$D$5:$D$304,"&gt;="&amp;U$5,'Leave Log'!$F$5:$F$304,"&lt;&gt;Rejected",'Leave Log'!$B$5:$B$304,"UL")&gt;0,"UL",IF(COUNTIFS('Leave Log'!$A$5:$A$304,$A12,'Leave Log'!$C$5:$C$304,"&lt;="&amp;U$5,'Leave Log'!$D$5:$D$304,"&gt;="&amp;U$5,'Leave Log'!$F$5:$F$304,"&lt;&gt;Rejected",'Leave Log'!$B$5:$B$304,"OT")&gt;0,"OT",""))))))</f>
        <v/>
      </c>
      <c r="V12" s="12" t="str">
        <f aca="false">IF(OR(V$5="",$A12=""),"",IF(COUNTIFS('Leave Log'!$A$5:$A$304,$A12,'Leave Log'!$C$5:$C$304,"&lt;="&amp;V$5,'Leave Log'!$D$5:$D$304,"&gt;="&amp;V$5,'Leave Log'!$F$5:$F$304,"&lt;&gt;Rejected",'Leave Log'!$B$5:$B$304,"AL")&gt;0,"AL",IF(COUNTIFS('Leave Log'!$A$5:$A$304,$A12,'Leave Log'!$C$5:$C$304,"&lt;="&amp;V$5,'Leave Log'!$D$5:$D$304,"&gt;="&amp;V$5,'Leave Log'!$F$5:$F$304,"&lt;&gt;Rejected",'Leave Log'!$B$5:$B$304,"SL")&gt;0,"SL",IF(COUNTIFS('Leave Log'!$A$5:$A$304,$A12,'Leave Log'!$C$5:$C$304,"&lt;="&amp;V$5,'Leave Log'!$D$5:$D$304,"&gt;="&amp;V$5,'Leave Log'!$F$5:$F$304,"&lt;&gt;Rejected",'Leave Log'!$B$5:$B$304,"CL")&gt;0,"CL",IF(COUNTIFS('Leave Log'!$A$5:$A$304,$A12,'Leave Log'!$C$5:$C$304,"&lt;="&amp;V$5,'Leave Log'!$D$5:$D$304,"&gt;="&amp;V$5,'Leave Log'!$F$5:$F$304,"&lt;&gt;Rejected",'Leave Log'!$B$5:$B$304,"UL")&gt;0,"UL",IF(COUNTIFS('Leave Log'!$A$5:$A$304,$A12,'Leave Log'!$C$5:$C$304,"&lt;="&amp;V$5,'Leave Log'!$D$5:$D$304,"&gt;="&amp;V$5,'Leave Log'!$F$5:$F$304,"&lt;&gt;Rejected",'Leave Log'!$B$5:$B$304,"OT")&gt;0,"OT",""))))))</f>
        <v/>
      </c>
      <c r="W12" s="12" t="str">
        <f aca="false">IF(OR(W$5="",$A12=""),"",IF(COUNTIFS('Leave Log'!$A$5:$A$304,$A12,'Leave Log'!$C$5:$C$304,"&lt;="&amp;W$5,'Leave Log'!$D$5:$D$304,"&gt;="&amp;W$5,'Leave Log'!$F$5:$F$304,"&lt;&gt;Rejected",'Leave Log'!$B$5:$B$304,"AL")&gt;0,"AL",IF(COUNTIFS('Leave Log'!$A$5:$A$304,$A12,'Leave Log'!$C$5:$C$304,"&lt;="&amp;W$5,'Leave Log'!$D$5:$D$304,"&gt;="&amp;W$5,'Leave Log'!$F$5:$F$304,"&lt;&gt;Rejected",'Leave Log'!$B$5:$B$304,"SL")&gt;0,"SL",IF(COUNTIFS('Leave Log'!$A$5:$A$304,$A12,'Leave Log'!$C$5:$C$304,"&lt;="&amp;W$5,'Leave Log'!$D$5:$D$304,"&gt;="&amp;W$5,'Leave Log'!$F$5:$F$304,"&lt;&gt;Rejected",'Leave Log'!$B$5:$B$304,"CL")&gt;0,"CL",IF(COUNTIFS('Leave Log'!$A$5:$A$304,$A12,'Leave Log'!$C$5:$C$304,"&lt;="&amp;W$5,'Leave Log'!$D$5:$D$304,"&gt;="&amp;W$5,'Leave Log'!$F$5:$F$304,"&lt;&gt;Rejected",'Leave Log'!$B$5:$B$304,"UL")&gt;0,"UL",IF(COUNTIFS('Leave Log'!$A$5:$A$304,$A12,'Leave Log'!$C$5:$C$304,"&lt;="&amp;W$5,'Leave Log'!$D$5:$D$304,"&gt;="&amp;W$5,'Leave Log'!$F$5:$F$304,"&lt;&gt;Rejected",'Leave Log'!$B$5:$B$304,"OT")&gt;0,"OT",""))))))</f>
        <v/>
      </c>
      <c r="X12" s="12" t="str">
        <f aca="false">IF(OR(X$5="",$A12=""),"",IF(COUNTIFS('Leave Log'!$A$5:$A$304,$A12,'Leave Log'!$C$5:$C$304,"&lt;="&amp;X$5,'Leave Log'!$D$5:$D$304,"&gt;="&amp;X$5,'Leave Log'!$F$5:$F$304,"&lt;&gt;Rejected",'Leave Log'!$B$5:$B$304,"AL")&gt;0,"AL",IF(COUNTIFS('Leave Log'!$A$5:$A$304,$A12,'Leave Log'!$C$5:$C$304,"&lt;="&amp;X$5,'Leave Log'!$D$5:$D$304,"&gt;="&amp;X$5,'Leave Log'!$F$5:$F$304,"&lt;&gt;Rejected",'Leave Log'!$B$5:$B$304,"SL")&gt;0,"SL",IF(COUNTIFS('Leave Log'!$A$5:$A$304,$A12,'Leave Log'!$C$5:$C$304,"&lt;="&amp;X$5,'Leave Log'!$D$5:$D$304,"&gt;="&amp;X$5,'Leave Log'!$F$5:$F$304,"&lt;&gt;Rejected",'Leave Log'!$B$5:$B$304,"CL")&gt;0,"CL",IF(COUNTIFS('Leave Log'!$A$5:$A$304,$A12,'Leave Log'!$C$5:$C$304,"&lt;="&amp;X$5,'Leave Log'!$D$5:$D$304,"&gt;="&amp;X$5,'Leave Log'!$F$5:$F$304,"&lt;&gt;Rejected",'Leave Log'!$B$5:$B$304,"UL")&gt;0,"UL",IF(COUNTIFS('Leave Log'!$A$5:$A$304,$A12,'Leave Log'!$C$5:$C$304,"&lt;="&amp;X$5,'Leave Log'!$D$5:$D$304,"&gt;="&amp;X$5,'Leave Log'!$F$5:$F$304,"&lt;&gt;Rejected",'Leave Log'!$B$5:$B$304,"OT")&gt;0,"OT",""))))))</f>
        <v/>
      </c>
      <c r="Y12" s="12" t="str">
        <f aca="false">IF(OR(Y$5="",$A12=""),"",IF(COUNTIFS('Leave Log'!$A$5:$A$304,$A12,'Leave Log'!$C$5:$C$304,"&lt;="&amp;Y$5,'Leave Log'!$D$5:$D$304,"&gt;="&amp;Y$5,'Leave Log'!$F$5:$F$304,"&lt;&gt;Rejected",'Leave Log'!$B$5:$B$304,"AL")&gt;0,"AL",IF(COUNTIFS('Leave Log'!$A$5:$A$304,$A12,'Leave Log'!$C$5:$C$304,"&lt;="&amp;Y$5,'Leave Log'!$D$5:$D$304,"&gt;="&amp;Y$5,'Leave Log'!$F$5:$F$304,"&lt;&gt;Rejected",'Leave Log'!$B$5:$B$304,"SL")&gt;0,"SL",IF(COUNTIFS('Leave Log'!$A$5:$A$304,$A12,'Leave Log'!$C$5:$C$304,"&lt;="&amp;Y$5,'Leave Log'!$D$5:$D$304,"&gt;="&amp;Y$5,'Leave Log'!$F$5:$F$304,"&lt;&gt;Rejected",'Leave Log'!$B$5:$B$304,"CL")&gt;0,"CL",IF(COUNTIFS('Leave Log'!$A$5:$A$304,$A12,'Leave Log'!$C$5:$C$304,"&lt;="&amp;Y$5,'Leave Log'!$D$5:$D$304,"&gt;="&amp;Y$5,'Leave Log'!$F$5:$F$304,"&lt;&gt;Rejected",'Leave Log'!$B$5:$B$304,"UL")&gt;0,"UL",IF(COUNTIFS('Leave Log'!$A$5:$A$304,$A12,'Leave Log'!$C$5:$C$304,"&lt;="&amp;Y$5,'Leave Log'!$D$5:$D$304,"&gt;="&amp;Y$5,'Leave Log'!$F$5:$F$304,"&lt;&gt;Rejected",'Leave Log'!$B$5:$B$304,"OT")&gt;0,"OT",""))))))</f>
        <v/>
      </c>
      <c r="Z12" s="12" t="str">
        <f aca="false">IF(OR(Z$5="",$A12=""),"",IF(COUNTIFS('Leave Log'!$A$5:$A$304,$A12,'Leave Log'!$C$5:$C$304,"&lt;="&amp;Z$5,'Leave Log'!$D$5:$D$304,"&gt;="&amp;Z$5,'Leave Log'!$F$5:$F$304,"&lt;&gt;Rejected",'Leave Log'!$B$5:$B$304,"AL")&gt;0,"AL",IF(COUNTIFS('Leave Log'!$A$5:$A$304,$A12,'Leave Log'!$C$5:$C$304,"&lt;="&amp;Z$5,'Leave Log'!$D$5:$D$304,"&gt;="&amp;Z$5,'Leave Log'!$F$5:$F$304,"&lt;&gt;Rejected",'Leave Log'!$B$5:$B$304,"SL")&gt;0,"SL",IF(COUNTIFS('Leave Log'!$A$5:$A$304,$A12,'Leave Log'!$C$5:$C$304,"&lt;="&amp;Z$5,'Leave Log'!$D$5:$D$304,"&gt;="&amp;Z$5,'Leave Log'!$F$5:$F$304,"&lt;&gt;Rejected",'Leave Log'!$B$5:$B$304,"CL")&gt;0,"CL",IF(COUNTIFS('Leave Log'!$A$5:$A$304,$A12,'Leave Log'!$C$5:$C$304,"&lt;="&amp;Z$5,'Leave Log'!$D$5:$D$304,"&gt;="&amp;Z$5,'Leave Log'!$F$5:$F$304,"&lt;&gt;Rejected",'Leave Log'!$B$5:$B$304,"UL")&gt;0,"UL",IF(COUNTIFS('Leave Log'!$A$5:$A$304,$A12,'Leave Log'!$C$5:$C$304,"&lt;="&amp;Z$5,'Leave Log'!$D$5:$D$304,"&gt;="&amp;Z$5,'Leave Log'!$F$5:$F$304,"&lt;&gt;Rejected",'Leave Log'!$B$5:$B$304,"OT")&gt;0,"OT",""))))))</f>
        <v/>
      </c>
      <c r="AA12" s="12" t="str">
        <f aca="false">IF(OR(AA$5="",$A12=""),"",IF(COUNTIFS('Leave Log'!$A$5:$A$304,$A12,'Leave Log'!$C$5:$C$304,"&lt;="&amp;AA$5,'Leave Log'!$D$5:$D$304,"&gt;="&amp;AA$5,'Leave Log'!$F$5:$F$304,"&lt;&gt;Rejected",'Leave Log'!$B$5:$B$304,"AL")&gt;0,"AL",IF(COUNTIFS('Leave Log'!$A$5:$A$304,$A12,'Leave Log'!$C$5:$C$304,"&lt;="&amp;AA$5,'Leave Log'!$D$5:$D$304,"&gt;="&amp;AA$5,'Leave Log'!$F$5:$F$304,"&lt;&gt;Rejected",'Leave Log'!$B$5:$B$304,"SL")&gt;0,"SL",IF(COUNTIFS('Leave Log'!$A$5:$A$304,$A12,'Leave Log'!$C$5:$C$304,"&lt;="&amp;AA$5,'Leave Log'!$D$5:$D$304,"&gt;="&amp;AA$5,'Leave Log'!$F$5:$F$304,"&lt;&gt;Rejected",'Leave Log'!$B$5:$B$304,"CL")&gt;0,"CL",IF(COUNTIFS('Leave Log'!$A$5:$A$304,$A12,'Leave Log'!$C$5:$C$304,"&lt;="&amp;AA$5,'Leave Log'!$D$5:$D$304,"&gt;="&amp;AA$5,'Leave Log'!$F$5:$F$304,"&lt;&gt;Rejected",'Leave Log'!$B$5:$B$304,"UL")&gt;0,"UL",IF(COUNTIFS('Leave Log'!$A$5:$A$304,$A12,'Leave Log'!$C$5:$C$304,"&lt;="&amp;AA$5,'Leave Log'!$D$5:$D$304,"&gt;="&amp;AA$5,'Leave Log'!$F$5:$F$304,"&lt;&gt;Rejected",'Leave Log'!$B$5:$B$304,"OT")&gt;0,"OT",""))))))</f>
        <v/>
      </c>
      <c r="AB12" s="12" t="str">
        <f aca="false">IF(OR(AB$5="",$A12=""),"",IF(COUNTIFS('Leave Log'!$A$5:$A$304,$A12,'Leave Log'!$C$5:$C$304,"&lt;="&amp;AB$5,'Leave Log'!$D$5:$D$304,"&gt;="&amp;AB$5,'Leave Log'!$F$5:$F$304,"&lt;&gt;Rejected",'Leave Log'!$B$5:$B$304,"AL")&gt;0,"AL",IF(COUNTIFS('Leave Log'!$A$5:$A$304,$A12,'Leave Log'!$C$5:$C$304,"&lt;="&amp;AB$5,'Leave Log'!$D$5:$D$304,"&gt;="&amp;AB$5,'Leave Log'!$F$5:$F$304,"&lt;&gt;Rejected",'Leave Log'!$B$5:$B$304,"SL")&gt;0,"SL",IF(COUNTIFS('Leave Log'!$A$5:$A$304,$A12,'Leave Log'!$C$5:$C$304,"&lt;="&amp;AB$5,'Leave Log'!$D$5:$D$304,"&gt;="&amp;AB$5,'Leave Log'!$F$5:$F$304,"&lt;&gt;Rejected",'Leave Log'!$B$5:$B$304,"CL")&gt;0,"CL",IF(COUNTIFS('Leave Log'!$A$5:$A$304,$A12,'Leave Log'!$C$5:$C$304,"&lt;="&amp;AB$5,'Leave Log'!$D$5:$D$304,"&gt;="&amp;AB$5,'Leave Log'!$F$5:$F$304,"&lt;&gt;Rejected",'Leave Log'!$B$5:$B$304,"UL")&gt;0,"UL",IF(COUNTIFS('Leave Log'!$A$5:$A$304,$A12,'Leave Log'!$C$5:$C$304,"&lt;="&amp;AB$5,'Leave Log'!$D$5:$D$304,"&gt;="&amp;AB$5,'Leave Log'!$F$5:$F$304,"&lt;&gt;Rejected",'Leave Log'!$B$5:$B$304,"OT")&gt;0,"OT",""))))))</f>
        <v/>
      </c>
      <c r="AC12" s="12" t="str">
        <f aca="false">IF(OR(AC$5="",$A12=""),"",IF(COUNTIFS('Leave Log'!$A$5:$A$304,$A12,'Leave Log'!$C$5:$C$304,"&lt;="&amp;AC$5,'Leave Log'!$D$5:$D$304,"&gt;="&amp;AC$5,'Leave Log'!$F$5:$F$304,"&lt;&gt;Rejected",'Leave Log'!$B$5:$B$304,"AL")&gt;0,"AL",IF(COUNTIFS('Leave Log'!$A$5:$A$304,$A12,'Leave Log'!$C$5:$C$304,"&lt;="&amp;AC$5,'Leave Log'!$D$5:$D$304,"&gt;="&amp;AC$5,'Leave Log'!$F$5:$F$304,"&lt;&gt;Rejected",'Leave Log'!$B$5:$B$304,"SL")&gt;0,"SL",IF(COUNTIFS('Leave Log'!$A$5:$A$304,$A12,'Leave Log'!$C$5:$C$304,"&lt;="&amp;AC$5,'Leave Log'!$D$5:$D$304,"&gt;="&amp;AC$5,'Leave Log'!$F$5:$F$304,"&lt;&gt;Rejected",'Leave Log'!$B$5:$B$304,"CL")&gt;0,"CL",IF(COUNTIFS('Leave Log'!$A$5:$A$304,$A12,'Leave Log'!$C$5:$C$304,"&lt;="&amp;AC$5,'Leave Log'!$D$5:$D$304,"&gt;="&amp;AC$5,'Leave Log'!$F$5:$F$304,"&lt;&gt;Rejected",'Leave Log'!$B$5:$B$304,"UL")&gt;0,"UL",IF(COUNTIFS('Leave Log'!$A$5:$A$304,$A12,'Leave Log'!$C$5:$C$304,"&lt;="&amp;AC$5,'Leave Log'!$D$5:$D$304,"&gt;="&amp;AC$5,'Leave Log'!$F$5:$F$304,"&lt;&gt;Rejected",'Leave Log'!$B$5:$B$304,"OT")&gt;0,"OT",""))))))</f>
        <v/>
      </c>
      <c r="AD12" s="12" t="str">
        <f aca="false">IF(OR(AD$5="",$A12=""),"",IF(COUNTIFS('Leave Log'!$A$5:$A$304,$A12,'Leave Log'!$C$5:$C$304,"&lt;="&amp;AD$5,'Leave Log'!$D$5:$D$304,"&gt;="&amp;AD$5,'Leave Log'!$F$5:$F$304,"&lt;&gt;Rejected",'Leave Log'!$B$5:$B$304,"AL")&gt;0,"AL",IF(COUNTIFS('Leave Log'!$A$5:$A$304,$A12,'Leave Log'!$C$5:$C$304,"&lt;="&amp;AD$5,'Leave Log'!$D$5:$D$304,"&gt;="&amp;AD$5,'Leave Log'!$F$5:$F$304,"&lt;&gt;Rejected",'Leave Log'!$B$5:$B$304,"SL")&gt;0,"SL",IF(COUNTIFS('Leave Log'!$A$5:$A$304,$A12,'Leave Log'!$C$5:$C$304,"&lt;="&amp;AD$5,'Leave Log'!$D$5:$D$304,"&gt;="&amp;AD$5,'Leave Log'!$F$5:$F$304,"&lt;&gt;Rejected",'Leave Log'!$B$5:$B$304,"CL")&gt;0,"CL",IF(COUNTIFS('Leave Log'!$A$5:$A$304,$A12,'Leave Log'!$C$5:$C$304,"&lt;="&amp;AD$5,'Leave Log'!$D$5:$D$304,"&gt;="&amp;AD$5,'Leave Log'!$F$5:$F$304,"&lt;&gt;Rejected",'Leave Log'!$B$5:$B$304,"UL")&gt;0,"UL",IF(COUNTIFS('Leave Log'!$A$5:$A$304,$A12,'Leave Log'!$C$5:$C$304,"&lt;="&amp;AD$5,'Leave Log'!$D$5:$D$304,"&gt;="&amp;AD$5,'Leave Log'!$F$5:$F$304,"&lt;&gt;Rejected",'Leave Log'!$B$5:$B$304,"OT")&gt;0,"OT",""))))))</f>
        <v/>
      </c>
      <c r="AE12" s="12" t="str">
        <f aca="false">IF(OR(AE$5="",$A12=""),"",IF(COUNTIFS('Leave Log'!$A$5:$A$304,$A12,'Leave Log'!$C$5:$C$304,"&lt;="&amp;AE$5,'Leave Log'!$D$5:$D$304,"&gt;="&amp;AE$5,'Leave Log'!$F$5:$F$304,"&lt;&gt;Rejected",'Leave Log'!$B$5:$B$304,"AL")&gt;0,"AL",IF(COUNTIFS('Leave Log'!$A$5:$A$304,$A12,'Leave Log'!$C$5:$C$304,"&lt;="&amp;AE$5,'Leave Log'!$D$5:$D$304,"&gt;="&amp;AE$5,'Leave Log'!$F$5:$F$304,"&lt;&gt;Rejected",'Leave Log'!$B$5:$B$304,"SL")&gt;0,"SL",IF(COUNTIFS('Leave Log'!$A$5:$A$304,$A12,'Leave Log'!$C$5:$C$304,"&lt;="&amp;AE$5,'Leave Log'!$D$5:$D$304,"&gt;="&amp;AE$5,'Leave Log'!$F$5:$F$304,"&lt;&gt;Rejected",'Leave Log'!$B$5:$B$304,"CL")&gt;0,"CL",IF(COUNTIFS('Leave Log'!$A$5:$A$304,$A12,'Leave Log'!$C$5:$C$304,"&lt;="&amp;AE$5,'Leave Log'!$D$5:$D$304,"&gt;="&amp;AE$5,'Leave Log'!$F$5:$F$304,"&lt;&gt;Rejected",'Leave Log'!$B$5:$B$304,"UL")&gt;0,"UL",IF(COUNTIFS('Leave Log'!$A$5:$A$304,$A12,'Leave Log'!$C$5:$C$304,"&lt;="&amp;AE$5,'Leave Log'!$D$5:$D$304,"&gt;="&amp;AE$5,'Leave Log'!$F$5:$F$304,"&lt;&gt;Rejected",'Leave Log'!$B$5:$B$304,"OT")&gt;0,"OT",""))))))</f>
        <v/>
      </c>
      <c r="AF12" s="12" t="str">
        <f aca="false">IF(OR(AF$5="",$A12=""),"",IF(COUNTIFS('Leave Log'!$A$5:$A$304,$A12,'Leave Log'!$C$5:$C$304,"&lt;="&amp;AF$5,'Leave Log'!$D$5:$D$304,"&gt;="&amp;AF$5,'Leave Log'!$F$5:$F$304,"&lt;&gt;Rejected",'Leave Log'!$B$5:$B$304,"AL")&gt;0,"AL",IF(COUNTIFS('Leave Log'!$A$5:$A$304,$A12,'Leave Log'!$C$5:$C$304,"&lt;="&amp;AF$5,'Leave Log'!$D$5:$D$304,"&gt;="&amp;AF$5,'Leave Log'!$F$5:$F$304,"&lt;&gt;Rejected",'Leave Log'!$B$5:$B$304,"SL")&gt;0,"SL",IF(COUNTIFS('Leave Log'!$A$5:$A$304,$A12,'Leave Log'!$C$5:$C$304,"&lt;="&amp;AF$5,'Leave Log'!$D$5:$D$304,"&gt;="&amp;AF$5,'Leave Log'!$F$5:$F$304,"&lt;&gt;Rejected",'Leave Log'!$B$5:$B$304,"CL")&gt;0,"CL",IF(COUNTIFS('Leave Log'!$A$5:$A$304,$A12,'Leave Log'!$C$5:$C$304,"&lt;="&amp;AF$5,'Leave Log'!$D$5:$D$304,"&gt;="&amp;AF$5,'Leave Log'!$F$5:$F$304,"&lt;&gt;Rejected",'Leave Log'!$B$5:$B$304,"UL")&gt;0,"UL",IF(COUNTIFS('Leave Log'!$A$5:$A$304,$A12,'Leave Log'!$C$5:$C$304,"&lt;="&amp;AF$5,'Leave Log'!$D$5:$D$304,"&gt;="&amp;AF$5,'Leave Log'!$F$5:$F$304,"&lt;&gt;Rejected",'Leave Log'!$B$5:$B$304,"OT")&gt;0,"OT",""))))))</f>
        <v/>
      </c>
      <c r="AG12" s="12" t="str">
        <f aca="false">IF(OR(AG$5="",$A12=""),"",IF(COUNTIFS('Leave Log'!$A$5:$A$304,$A12,'Leave Log'!$C$5:$C$304,"&lt;="&amp;AG$5,'Leave Log'!$D$5:$D$304,"&gt;="&amp;AG$5,'Leave Log'!$F$5:$F$304,"&lt;&gt;Rejected",'Leave Log'!$B$5:$B$304,"AL")&gt;0,"AL",IF(COUNTIFS('Leave Log'!$A$5:$A$304,$A12,'Leave Log'!$C$5:$C$304,"&lt;="&amp;AG$5,'Leave Log'!$D$5:$D$304,"&gt;="&amp;AG$5,'Leave Log'!$F$5:$F$304,"&lt;&gt;Rejected",'Leave Log'!$B$5:$B$304,"SL")&gt;0,"SL",IF(COUNTIFS('Leave Log'!$A$5:$A$304,$A12,'Leave Log'!$C$5:$C$304,"&lt;="&amp;AG$5,'Leave Log'!$D$5:$D$304,"&gt;="&amp;AG$5,'Leave Log'!$F$5:$F$304,"&lt;&gt;Rejected",'Leave Log'!$B$5:$B$304,"CL")&gt;0,"CL",IF(COUNTIFS('Leave Log'!$A$5:$A$304,$A12,'Leave Log'!$C$5:$C$304,"&lt;="&amp;AG$5,'Leave Log'!$D$5:$D$304,"&gt;="&amp;AG$5,'Leave Log'!$F$5:$F$304,"&lt;&gt;Rejected",'Leave Log'!$B$5:$B$304,"UL")&gt;0,"UL",IF(COUNTIFS('Leave Log'!$A$5:$A$304,$A12,'Leave Log'!$C$5:$C$304,"&lt;="&amp;AG$5,'Leave Log'!$D$5:$D$304,"&gt;="&amp;AG$5,'Leave Log'!$F$5:$F$304,"&lt;&gt;Rejected",'Leave Log'!$B$5:$B$304,"OT")&gt;0,"OT",""))))))</f>
        <v/>
      </c>
    </row>
    <row r="13" customFormat="false" ht="15" hidden="false" customHeight="false" outlineLevel="0" collapsed="false">
      <c r="A13" s="3" t="str">
        <f aca="false">IF(Employees!B12="","",Employees!B12)</f>
        <v>Hassan Ali</v>
      </c>
      <c r="B13" s="11" t="str">
        <f aca="false">IF(Employees!B12="","",Employees!C12)</f>
        <v>Sales</v>
      </c>
      <c r="C13" s="12" t="str">
        <f aca="false">IF(OR(C$5="",$A13=""),"",IF(COUNTIFS('Leave Log'!$A$5:$A$304,$A13,'Leave Log'!$C$5:$C$304,"&lt;="&amp;C$5,'Leave Log'!$D$5:$D$304,"&gt;="&amp;C$5,'Leave Log'!$F$5:$F$304,"&lt;&gt;Rejected",'Leave Log'!$B$5:$B$304,"AL")&gt;0,"AL",IF(COUNTIFS('Leave Log'!$A$5:$A$304,$A13,'Leave Log'!$C$5:$C$304,"&lt;="&amp;C$5,'Leave Log'!$D$5:$D$304,"&gt;="&amp;C$5,'Leave Log'!$F$5:$F$304,"&lt;&gt;Rejected",'Leave Log'!$B$5:$B$304,"SL")&gt;0,"SL",IF(COUNTIFS('Leave Log'!$A$5:$A$304,$A13,'Leave Log'!$C$5:$C$304,"&lt;="&amp;C$5,'Leave Log'!$D$5:$D$304,"&gt;="&amp;C$5,'Leave Log'!$F$5:$F$304,"&lt;&gt;Rejected",'Leave Log'!$B$5:$B$304,"CL")&gt;0,"CL",IF(COUNTIFS('Leave Log'!$A$5:$A$304,$A13,'Leave Log'!$C$5:$C$304,"&lt;="&amp;C$5,'Leave Log'!$D$5:$D$304,"&gt;="&amp;C$5,'Leave Log'!$F$5:$F$304,"&lt;&gt;Rejected",'Leave Log'!$B$5:$B$304,"UL")&gt;0,"UL",IF(COUNTIFS('Leave Log'!$A$5:$A$304,$A13,'Leave Log'!$C$5:$C$304,"&lt;="&amp;C$5,'Leave Log'!$D$5:$D$304,"&gt;="&amp;C$5,'Leave Log'!$F$5:$F$304,"&lt;&gt;Rejected",'Leave Log'!$B$5:$B$304,"OT")&gt;0,"OT",""))))))</f>
        <v/>
      </c>
      <c r="D13" s="12" t="str">
        <f aca="false">IF(OR(D$5="",$A13=""),"",IF(COUNTIFS('Leave Log'!$A$5:$A$304,$A13,'Leave Log'!$C$5:$C$304,"&lt;="&amp;D$5,'Leave Log'!$D$5:$D$304,"&gt;="&amp;D$5,'Leave Log'!$F$5:$F$304,"&lt;&gt;Rejected",'Leave Log'!$B$5:$B$304,"AL")&gt;0,"AL",IF(COUNTIFS('Leave Log'!$A$5:$A$304,$A13,'Leave Log'!$C$5:$C$304,"&lt;="&amp;D$5,'Leave Log'!$D$5:$D$304,"&gt;="&amp;D$5,'Leave Log'!$F$5:$F$304,"&lt;&gt;Rejected",'Leave Log'!$B$5:$B$304,"SL")&gt;0,"SL",IF(COUNTIFS('Leave Log'!$A$5:$A$304,$A13,'Leave Log'!$C$5:$C$304,"&lt;="&amp;D$5,'Leave Log'!$D$5:$D$304,"&gt;="&amp;D$5,'Leave Log'!$F$5:$F$304,"&lt;&gt;Rejected",'Leave Log'!$B$5:$B$304,"CL")&gt;0,"CL",IF(COUNTIFS('Leave Log'!$A$5:$A$304,$A13,'Leave Log'!$C$5:$C$304,"&lt;="&amp;D$5,'Leave Log'!$D$5:$D$304,"&gt;="&amp;D$5,'Leave Log'!$F$5:$F$304,"&lt;&gt;Rejected",'Leave Log'!$B$5:$B$304,"UL")&gt;0,"UL",IF(COUNTIFS('Leave Log'!$A$5:$A$304,$A13,'Leave Log'!$C$5:$C$304,"&lt;="&amp;D$5,'Leave Log'!$D$5:$D$304,"&gt;="&amp;D$5,'Leave Log'!$F$5:$F$304,"&lt;&gt;Rejected",'Leave Log'!$B$5:$B$304,"OT")&gt;0,"OT",""))))))</f>
        <v/>
      </c>
      <c r="E13" s="12" t="str">
        <f aca="false">IF(OR(E$5="",$A13=""),"",IF(COUNTIFS('Leave Log'!$A$5:$A$304,$A13,'Leave Log'!$C$5:$C$304,"&lt;="&amp;E$5,'Leave Log'!$D$5:$D$304,"&gt;="&amp;E$5,'Leave Log'!$F$5:$F$304,"&lt;&gt;Rejected",'Leave Log'!$B$5:$B$304,"AL")&gt;0,"AL",IF(COUNTIFS('Leave Log'!$A$5:$A$304,$A13,'Leave Log'!$C$5:$C$304,"&lt;="&amp;E$5,'Leave Log'!$D$5:$D$304,"&gt;="&amp;E$5,'Leave Log'!$F$5:$F$304,"&lt;&gt;Rejected",'Leave Log'!$B$5:$B$304,"SL")&gt;0,"SL",IF(COUNTIFS('Leave Log'!$A$5:$A$304,$A13,'Leave Log'!$C$5:$C$304,"&lt;="&amp;E$5,'Leave Log'!$D$5:$D$304,"&gt;="&amp;E$5,'Leave Log'!$F$5:$F$304,"&lt;&gt;Rejected",'Leave Log'!$B$5:$B$304,"CL")&gt;0,"CL",IF(COUNTIFS('Leave Log'!$A$5:$A$304,$A13,'Leave Log'!$C$5:$C$304,"&lt;="&amp;E$5,'Leave Log'!$D$5:$D$304,"&gt;="&amp;E$5,'Leave Log'!$F$5:$F$304,"&lt;&gt;Rejected",'Leave Log'!$B$5:$B$304,"UL")&gt;0,"UL",IF(COUNTIFS('Leave Log'!$A$5:$A$304,$A13,'Leave Log'!$C$5:$C$304,"&lt;="&amp;E$5,'Leave Log'!$D$5:$D$304,"&gt;="&amp;E$5,'Leave Log'!$F$5:$F$304,"&lt;&gt;Rejected",'Leave Log'!$B$5:$B$304,"OT")&gt;0,"OT",""))))))</f>
        <v/>
      </c>
      <c r="F13" s="12" t="str">
        <f aca="false">IF(OR(F$5="",$A13=""),"",IF(COUNTIFS('Leave Log'!$A$5:$A$304,$A13,'Leave Log'!$C$5:$C$304,"&lt;="&amp;F$5,'Leave Log'!$D$5:$D$304,"&gt;="&amp;F$5,'Leave Log'!$F$5:$F$304,"&lt;&gt;Rejected",'Leave Log'!$B$5:$B$304,"AL")&gt;0,"AL",IF(COUNTIFS('Leave Log'!$A$5:$A$304,$A13,'Leave Log'!$C$5:$C$304,"&lt;="&amp;F$5,'Leave Log'!$D$5:$D$304,"&gt;="&amp;F$5,'Leave Log'!$F$5:$F$304,"&lt;&gt;Rejected",'Leave Log'!$B$5:$B$304,"SL")&gt;0,"SL",IF(COUNTIFS('Leave Log'!$A$5:$A$304,$A13,'Leave Log'!$C$5:$C$304,"&lt;="&amp;F$5,'Leave Log'!$D$5:$D$304,"&gt;="&amp;F$5,'Leave Log'!$F$5:$F$304,"&lt;&gt;Rejected",'Leave Log'!$B$5:$B$304,"CL")&gt;0,"CL",IF(COUNTIFS('Leave Log'!$A$5:$A$304,$A13,'Leave Log'!$C$5:$C$304,"&lt;="&amp;F$5,'Leave Log'!$D$5:$D$304,"&gt;="&amp;F$5,'Leave Log'!$F$5:$F$304,"&lt;&gt;Rejected",'Leave Log'!$B$5:$B$304,"UL")&gt;0,"UL",IF(COUNTIFS('Leave Log'!$A$5:$A$304,$A13,'Leave Log'!$C$5:$C$304,"&lt;="&amp;F$5,'Leave Log'!$D$5:$D$304,"&gt;="&amp;F$5,'Leave Log'!$F$5:$F$304,"&lt;&gt;Rejected",'Leave Log'!$B$5:$B$304,"OT")&gt;0,"OT",""))))))</f>
        <v/>
      </c>
      <c r="G13" s="12" t="str">
        <f aca="false">IF(OR(G$5="",$A13=""),"",IF(COUNTIFS('Leave Log'!$A$5:$A$304,$A13,'Leave Log'!$C$5:$C$304,"&lt;="&amp;G$5,'Leave Log'!$D$5:$D$304,"&gt;="&amp;G$5,'Leave Log'!$F$5:$F$304,"&lt;&gt;Rejected",'Leave Log'!$B$5:$B$304,"AL")&gt;0,"AL",IF(COUNTIFS('Leave Log'!$A$5:$A$304,$A13,'Leave Log'!$C$5:$C$304,"&lt;="&amp;G$5,'Leave Log'!$D$5:$D$304,"&gt;="&amp;G$5,'Leave Log'!$F$5:$F$304,"&lt;&gt;Rejected",'Leave Log'!$B$5:$B$304,"SL")&gt;0,"SL",IF(COUNTIFS('Leave Log'!$A$5:$A$304,$A13,'Leave Log'!$C$5:$C$304,"&lt;="&amp;G$5,'Leave Log'!$D$5:$D$304,"&gt;="&amp;G$5,'Leave Log'!$F$5:$F$304,"&lt;&gt;Rejected",'Leave Log'!$B$5:$B$304,"CL")&gt;0,"CL",IF(COUNTIFS('Leave Log'!$A$5:$A$304,$A13,'Leave Log'!$C$5:$C$304,"&lt;="&amp;G$5,'Leave Log'!$D$5:$D$304,"&gt;="&amp;G$5,'Leave Log'!$F$5:$F$304,"&lt;&gt;Rejected",'Leave Log'!$B$5:$B$304,"UL")&gt;0,"UL",IF(COUNTIFS('Leave Log'!$A$5:$A$304,$A13,'Leave Log'!$C$5:$C$304,"&lt;="&amp;G$5,'Leave Log'!$D$5:$D$304,"&gt;="&amp;G$5,'Leave Log'!$F$5:$F$304,"&lt;&gt;Rejected",'Leave Log'!$B$5:$B$304,"OT")&gt;0,"OT",""))))))</f>
        <v/>
      </c>
      <c r="H13" s="12" t="str">
        <f aca="false">IF(OR(H$5="",$A13=""),"",IF(COUNTIFS('Leave Log'!$A$5:$A$304,$A13,'Leave Log'!$C$5:$C$304,"&lt;="&amp;H$5,'Leave Log'!$D$5:$D$304,"&gt;="&amp;H$5,'Leave Log'!$F$5:$F$304,"&lt;&gt;Rejected",'Leave Log'!$B$5:$B$304,"AL")&gt;0,"AL",IF(COUNTIFS('Leave Log'!$A$5:$A$304,$A13,'Leave Log'!$C$5:$C$304,"&lt;="&amp;H$5,'Leave Log'!$D$5:$D$304,"&gt;="&amp;H$5,'Leave Log'!$F$5:$F$304,"&lt;&gt;Rejected",'Leave Log'!$B$5:$B$304,"SL")&gt;0,"SL",IF(COUNTIFS('Leave Log'!$A$5:$A$304,$A13,'Leave Log'!$C$5:$C$304,"&lt;="&amp;H$5,'Leave Log'!$D$5:$D$304,"&gt;="&amp;H$5,'Leave Log'!$F$5:$F$304,"&lt;&gt;Rejected",'Leave Log'!$B$5:$B$304,"CL")&gt;0,"CL",IF(COUNTIFS('Leave Log'!$A$5:$A$304,$A13,'Leave Log'!$C$5:$C$304,"&lt;="&amp;H$5,'Leave Log'!$D$5:$D$304,"&gt;="&amp;H$5,'Leave Log'!$F$5:$F$304,"&lt;&gt;Rejected",'Leave Log'!$B$5:$B$304,"UL")&gt;0,"UL",IF(COUNTIFS('Leave Log'!$A$5:$A$304,$A13,'Leave Log'!$C$5:$C$304,"&lt;="&amp;H$5,'Leave Log'!$D$5:$D$304,"&gt;="&amp;H$5,'Leave Log'!$F$5:$F$304,"&lt;&gt;Rejected",'Leave Log'!$B$5:$B$304,"OT")&gt;0,"OT",""))))))</f>
        <v/>
      </c>
      <c r="I13" s="12" t="str">
        <f aca="false">IF(OR(I$5="",$A13=""),"",IF(COUNTIFS('Leave Log'!$A$5:$A$304,$A13,'Leave Log'!$C$5:$C$304,"&lt;="&amp;I$5,'Leave Log'!$D$5:$D$304,"&gt;="&amp;I$5,'Leave Log'!$F$5:$F$304,"&lt;&gt;Rejected",'Leave Log'!$B$5:$B$304,"AL")&gt;0,"AL",IF(COUNTIFS('Leave Log'!$A$5:$A$304,$A13,'Leave Log'!$C$5:$C$304,"&lt;="&amp;I$5,'Leave Log'!$D$5:$D$304,"&gt;="&amp;I$5,'Leave Log'!$F$5:$F$304,"&lt;&gt;Rejected",'Leave Log'!$B$5:$B$304,"SL")&gt;0,"SL",IF(COUNTIFS('Leave Log'!$A$5:$A$304,$A13,'Leave Log'!$C$5:$C$304,"&lt;="&amp;I$5,'Leave Log'!$D$5:$D$304,"&gt;="&amp;I$5,'Leave Log'!$F$5:$F$304,"&lt;&gt;Rejected",'Leave Log'!$B$5:$B$304,"CL")&gt;0,"CL",IF(COUNTIFS('Leave Log'!$A$5:$A$304,$A13,'Leave Log'!$C$5:$C$304,"&lt;="&amp;I$5,'Leave Log'!$D$5:$D$304,"&gt;="&amp;I$5,'Leave Log'!$F$5:$F$304,"&lt;&gt;Rejected",'Leave Log'!$B$5:$B$304,"UL")&gt;0,"UL",IF(COUNTIFS('Leave Log'!$A$5:$A$304,$A13,'Leave Log'!$C$5:$C$304,"&lt;="&amp;I$5,'Leave Log'!$D$5:$D$304,"&gt;="&amp;I$5,'Leave Log'!$F$5:$F$304,"&lt;&gt;Rejected",'Leave Log'!$B$5:$B$304,"OT")&gt;0,"OT",""))))))</f>
        <v/>
      </c>
      <c r="J13" s="12" t="str">
        <f aca="false">IF(OR(J$5="",$A13=""),"",IF(COUNTIFS('Leave Log'!$A$5:$A$304,$A13,'Leave Log'!$C$5:$C$304,"&lt;="&amp;J$5,'Leave Log'!$D$5:$D$304,"&gt;="&amp;J$5,'Leave Log'!$F$5:$F$304,"&lt;&gt;Rejected",'Leave Log'!$B$5:$B$304,"AL")&gt;0,"AL",IF(COUNTIFS('Leave Log'!$A$5:$A$304,$A13,'Leave Log'!$C$5:$C$304,"&lt;="&amp;J$5,'Leave Log'!$D$5:$D$304,"&gt;="&amp;J$5,'Leave Log'!$F$5:$F$304,"&lt;&gt;Rejected",'Leave Log'!$B$5:$B$304,"SL")&gt;0,"SL",IF(COUNTIFS('Leave Log'!$A$5:$A$304,$A13,'Leave Log'!$C$5:$C$304,"&lt;="&amp;J$5,'Leave Log'!$D$5:$D$304,"&gt;="&amp;J$5,'Leave Log'!$F$5:$F$304,"&lt;&gt;Rejected",'Leave Log'!$B$5:$B$304,"CL")&gt;0,"CL",IF(COUNTIFS('Leave Log'!$A$5:$A$304,$A13,'Leave Log'!$C$5:$C$304,"&lt;="&amp;J$5,'Leave Log'!$D$5:$D$304,"&gt;="&amp;J$5,'Leave Log'!$F$5:$F$304,"&lt;&gt;Rejected",'Leave Log'!$B$5:$B$304,"UL")&gt;0,"UL",IF(COUNTIFS('Leave Log'!$A$5:$A$304,$A13,'Leave Log'!$C$5:$C$304,"&lt;="&amp;J$5,'Leave Log'!$D$5:$D$304,"&gt;="&amp;J$5,'Leave Log'!$F$5:$F$304,"&lt;&gt;Rejected",'Leave Log'!$B$5:$B$304,"OT")&gt;0,"OT",""))))))</f>
        <v/>
      </c>
      <c r="K13" s="12" t="str">
        <f aca="false">IF(OR(K$5="",$A13=""),"",IF(COUNTIFS('Leave Log'!$A$5:$A$304,$A13,'Leave Log'!$C$5:$C$304,"&lt;="&amp;K$5,'Leave Log'!$D$5:$D$304,"&gt;="&amp;K$5,'Leave Log'!$F$5:$F$304,"&lt;&gt;Rejected",'Leave Log'!$B$5:$B$304,"AL")&gt;0,"AL",IF(COUNTIFS('Leave Log'!$A$5:$A$304,$A13,'Leave Log'!$C$5:$C$304,"&lt;="&amp;K$5,'Leave Log'!$D$5:$D$304,"&gt;="&amp;K$5,'Leave Log'!$F$5:$F$304,"&lt;&gt;Rejected",'Leave Log'!$B$5:$B$304,"SL")&gt;0,"SL",IF(COUNTIFS('Leave Log'!$A$5:$A$304,$A13,'Leave Log'!$C$5:$C$304,"&lt;="&amp;K$5,'Leave Log'!$D$5:$D$304,"&gt;="&amp;K$5,'Leave Log'!$F$5:$F$304,"&lt;&gt;Rejected",'Leave Log'!$B$5:$B$304,"CL")&gt;0,"CL",IF(COUNTIFS('Leave Log'!$A$5:$A$304,$A13,'Leave Log'!$C$5:$C$304,"&lt;="&amp;K$5,'Leave Log'!$D$5:$D$304,"&gt;="&amp;K$5,'Leave Log'!$F$5:$F$304,"&lt;&gt;Rejected",'Leave Log'!$B$5:$B$304,"UL")&gt;0,"UL",IF(COUNTIFS('Leave Log'!$A$5:$A$304,$A13,'Leave Log'!$C$5:$C$304,"&lt;="&amp;K$5,'Leave Log'!$D$5:$D$304,"&gt;="&amp;K$5,'Leave Log'!$F$5:$F$304,"&lt;&gt;Rejected",'Leave Log'!$B$5:$B$304,"OT")&gt;0,"OT",""))))))</f>
        <v/>
      </c>
      <c r="L13" s="12" t="str">
        <f aca="false">IF(OR(L$5="",$A13=""),"",IF(COUNTIFS('Leave Log'!$A$5:$A$304,$A13,'Leave Log'!$C$5:$C$304,"&lt;="&amp;L$5,'Leave Log'!$D$5:$D$304,"&gt;="&amp;L$5,'Leave Log'!$F$5:$F$304,"&lt;&gt;Rejected",'Leave Log'!$B$5:$B$304,"AL")&gt;0,"AL",IF(COUNTIFS('Leave Log'!$A$5:$A$304,$A13,'Leave Log'!$C$5:$C$304,"&lt;="&amp;L$5,'Leave Log'!$D$5:$D$304,"&gt;="&amp;L$5,'Leave Log'!$F$5:$F$304,"&lt;&gt;Rejected",'Leave Log'!$B$5:$B$304,"SL")&gt;0,"SL",IF(COUNTIFS('Leave Log'!$A$5:$A$304,$A13,'Leave Log'!$C$5:$C$304,"&lt;="&amp;L$5,'Leave Log'!$D$5:$D$304,"&gt;="&amp;L$5,'Leave Log'!$F$5:$F$304,"&lt;&gt;Rejected",'Leave Log'!$B$5:$B$304,"CL")&gt;0,"CL",IF(COUNTIFS('Leave Log'!$A$5:$A$304,$A13,'Leave Log'!$C$5:$C$304,"&lt;="&amp;L$5,'Leave Log'!$D$5:$D$304,"&gt;="&amp;L$5,'Leave Log'!$F$5:$F$304,"&lt;&gt;Rejected",'Leave Log'!$B$5:$B$304,"UL")&gt;0,"UL",IF(COUNTIFS('Leave Log'!$A$5:$A$304,$A13,'Leave Log'!$C$5:$C$304,"&lt;="&amp;L$5,'Leave Log'!$D$5:$D$304,"&gt;="&amp;L$5,'Leave Log'!$F$5:$F$304,"&lt;&gt;Rejected",'Leave Log'!$B$5:$B$304,"OT")&gt;0,"OT",""))))))</f>
        <v/>
      </c>
      <c r="M13" s="12" t="str">
        <f aca="false">IF(OR(M$5="",$A13=""),"",IF(COUNTIFS('Leave Log'!$A$5:$A$304,$A13,'Leave Log'!$C$5:$C$304,"&lt;="&amp;M$5,'Leave Log'!$D$5:$D$304,"&gt;="&amp;M$5,'Leave Log'!$F$5:$F$304,"&lt;&gt;Rejected",'Leave Log'!$B$5:$B$304,"AL")&gt;0,"AL",IF(COUNTIFS('Leave Log'!$A$5:$A$304,$A13,'Leave Log'!$C$5:$C$304,"&lt;="&amp;M$5,'Leave Log'!$D$5:$D$304,"&gt;="&amp;M$5,'Leave Log'!$F$5:$F$304,"&lt;&gt;Rejected",'Leave Log'!$B$5:$B$304,"SL")&gt;0,"SL",IF(COUNTIFS('Leave Log'!$A$5:$A$304,$A13,'Leave Log'!$C$5:$C$304,"&lt;="&amp;M$5,'Leave Log'!$D$5:$D$304,"&gt;="&amp;M$5,'Leave Log'!$F$5:$F$304,"&lt;&gt;Rejected",'Leave Log'!$B$5:$B$304,"CL")&gt;0,"CL",IF(COUNTIFS('Leave Log'!$A$5:$A$304,$A13,'Leave Log'!$C$5:$C$304,"&lt;="&amp;M$5,'Leave Log'!$D$5:$D$304,"&gt;="&amp;M$5,'Leave Log'!$F$5:$F$304,"&lt;&gt;Rejected",'Leave Log'!$B$5:$B$304,"UL")&gt;0,"UL",IF(COUNTIFS('Leave Log'!$A$5:$A$304,$A13,'Leave Log'!$C$5:$C$304,"&lt;="&amp;M$5,'Leave Log'!$D$5:$D$304,"&gt;="&amp;M$5,'Leave Log'!$F$5:$F$304,"&lt;&gt;Rejected",'Leave Log'!$B$5:$B$304,"OT")&gt;0,"OT",""))))))</f>
        <v/>
      </c>
      <c r="N13" s="12" t="str">
        <f aca="false">IF(OR(N$5="",$A13=""),"",IF(COUNTIFS('Leave Log'!$A$5:$A$304,$A13,'Leave Log'!$C$5:$C$304,"&lt;="&amp;N$5,'Leave Log'!$D$5:$D$304,"&gt;="&amp;N$5,'Leave Log'!$F$5:$F$304,"&lt;&gt;Rejected",'Leave Log'!$B$5:$B$304,"AL")&gt;0,"AL",IF(COUNTIFS('Leave Log'!$A$5:$A$304,$A13,'Leave Log'!$C$5:$C$304,"&lt;="&amp;N$5,'Leave Log'!$D$5:$D$304,"&gt;="&amp;N$5,'Leave Log'!$F$5:$F$304,"&lt;&gt;Rejected",'Leave Log'!$B$5:$B$304,"SL")&gt;0,"SL",IF(COUNTIFS('Leave Log'!$A$5:$A$304,$A13,'Leave Log'!$C$5:$C$304,"&lt;="&amp;N$5,'Leave Log'!$D$5:$D$304,"&gt;="&amp;N$5,'Leave Log'!$F$5:$F$304,"&lt;&gt;Rejected",'Leave Log'!$B$5:$B$304,"CL")&gt;0,"CL",IF(COUNTIFS('Leave Log'!$A$5:$A$304,$A13,'Leave Log'!$C$5:$C$304,"&lt;="&amp;N$5,'Leave Log'!$D$5:$D$304,"&gt;="&amp;N$5,'Leave Log'!$F$5:$F$304,"&lt;&gt;Rejected",'Leave Log'!$B$5:$B$304,"UL")&gt;0,"UL",IF(COUNTIFS('Leave Log'!$A$5:$A$304,$A13,'Leave Log'!$C$5:$C$304,"&lt;="&amp;N$5,'Leave Log'!$D$5:$D$304,"&gt;="&amp;N$5,'Leave Log'!$F$5:$F$304,"&lt;&gt;Rejected",'Leave Log'!$B$5:$B$304,"OT")&gt;0,"OT",""))))))</f>
        <v/>
      </c>
      <c r="O13" s="12" t="str">
        <f aca="false">IF(OR(O$5="",$A13=""),"",IF(COUNTIFS('Leave Log'!$A$5:$A$304,$A13,'Leave Log'!$C$5:$C$304,"&lt;="&amp;O$5,'Leave Log'!$D$5:$D$304,"&gt;="&amp;O$5,'Leave Log'!$F$5:$F$304,"&lt;&gt;Rejected",'Leave Log'!$B$5:$B$304,"AL")&gt;0,"AL",IF(COUNTIFS('Leave Log'!$A$5:$A$304,$A13,'Leave Log'!$C$5:$C$304,"&lt;="&amp;O$5,'Leave Log'!$D$5:$D$304,"&gt;="&amp;O$5,'Leave Log'!$F$5:$F$304,"&lt;&gt;Rejected",'Leave Log'!$B$5:$B$304,"SL")&gt;0,"SL",IF(COUNTIFS('Leave Log'!$A$5:$A$304,$A13,'Leave Log'!$C$5:$C$304,"&lt;="&amp;O$5,'Leave Log'!$D$5:$D$304,"&gt;="&amp;O$5,'Leave Log'!$F$5:$F$304,"&lt;&gt;Rejected",'Leave Log'!$B$5:$B$304,"CL")&gt;0,"CL",IF(COUNTIFS('Leave Log'!$A$5:$A$304,$A13,'Leave Log'!$C$5:$C$304,"&lt;="&amp;O$5,'Leave Log'!$D$5:$D$304,"&gt;="&amp;O$5,'Leave Log'!$F$5:$F$304,"&lt;&gt;Rejected",'Leave Log'!$B$5:$B$304,"UL")&gt;0,"UL",IF(COUNTIFS('Leave Log'!$A$5:$A$304,$A13,'Leave Log'!$C$5:$C$304,"&lt;="&amp;O$5,'Leave Log'!$D$5:$D$304,"&gt;="&amp;O$5,'Leave Log'!$F$5:$F$304,"&lt;&gt;Rejected",'Leave Log'!$B$5:$B$304,"OT")&gt;0,"OT",""))))))</f>
        <v/>
      </c>
      <c r="P13" s="12" t="str">
        <f aca="false">IF(OR(P$5="",$A13=""),"",IF(COUNTIFS('Leave Log'!$A$5:$A$304,$A13,'Leave Log'!$C$5:$C$304,"&lt;="&amp;P$5,'Leave Log'!$D$5:$D$304,"&gt;="&amp;P$5,'Leave Log'!$F$5:$F$304,"&lt;&gt;Rejected",'Leave Log'!$B$5:$B$304,"AL")&gt;0,"AL",IF(COUNTIFS('Leave Log'!$A$5:$A$304,$A13,'Leave Log'!$C$5:$C$304,"&lt;="&amp;P$5,'Leave Log'!$D$5:$D$304,"&gt;="&amp;P$5,'Leave Log'!$F$5:$F$304,"&lt;&gt;Rejected",'Leave Log'!$B$5:$B$304,"SL")&gt;0,"SL",IF(COUNTIFS('Leave Log'!$A$5:$A$304,$A13,'Leave Log'!$C$5:$C$304,"&lt;="&amp;P$5,'Leave Log'!$D$5:$D$304,"&gt;="&amp;P$5,'Leave Log'!$F$5:$F$304,"&lt;&gt;Rejected",'Leave Log'!$B$5:$B$304,"CL")&gt;0,"CL",IF(COUNTIFS('Leave Log'!$A$5:$A$304,$A13,'Leave Log'!$C$5:$C$304,"&lt;="&amp;P$5,'Leave Log'!$D$5:$D$304,"&gt;="&amp;P$5,'Leave Log'!$F$5:$F$304,"&lt;&gt;Rejected",'Leave Log'!$B$5:$B$304,"UL")&gt;0,"UL",IF(COUNTIFS('Leave Log'!$A$5:$A$304,$A13,'Leave Log'!$C$5:$C$304,"&lt;="&amp;P$5,'Leave Log'!$D$5:$D$304,"&gt;="&amp;P$5,'Leave Log'!$F$5:$F$304,"&lt;&gt;Rejected",'Leave Log'!$B$5:$B$304,"OT")&gt;0,"OT",""))))))</f>
        <v/>
      </c>
      <c r="Q13" s="12" t="str">
        <f aca="false">IF(OR(Q$5="",$A13=""),"",IF(COUNTIFS('Leave Log'!$A$5:$A$304,$A13,'Leave Log'!$C$5:$C$304,"&lt;="&amp;Q$5,'Leave Log'!$D$5:$D$304,"&gt;="&amp;Q$5,'Leave Log'!$F$5:$F$304,"&lt;&gt;Rejected",'Leave Log'!$B$5:$B$304,"AL")&gt;0,"AL",IF(COUNTIFS('Leave Log'!$A$5:$A$304,$A13,'Leave Log'!$C$5:$C$304,"&lt;="&amp;Q$5,'Leave Log'!$D$5:$D$304,"&gt;="&amp;Q$5,'Leave Log'!$F$5:$F$304,"&lt;&gt;Rejected",'Leave Log'!$B$5:$B$304,"SL")&gt;0,"SL",IF(COUNTIFS('Leave Log'!$A$5:$A$304,$A13,'Leave Log'!$C$5:$C$304,"&lt;="&amp;Q$5,'Leave Log'!$D$5:$D$304,"&gt;="&amp;Q$5,'Leave Log'!$F$5:$F$304,"&lt;&gt;Rejected",'Leave Log'!$B$5:$B$304,"CL")&gt;0,"CL",IF(COUNTIFS('Leave Log'!$A$5:$A$304,$A13,'Leave Log'!$C$5:$C$304,"&lt;="&amp;Q$5,'Leave Log'!$D$5:$D$304,"&gt;="&amp;Q$5,'Leave Log'!$F$5:$F$304,"&lt;&gt;Rejected",'Leave Log'!$B$5:$B$304,"UL")&gt;0,"UL",IF(COUNTIFS('Leave Log'!$A$5:$A$304,$A13,'Leave Log'!$C$5:$C$304,"&lt;="&amp;Q$5,'Leave Log'!$D$5:$D$304,"&gt;="&amp;Q$5,'Leave Log'!$F$5:$F$304,"&lt;&gt;Rejected",'Leave Log'!$B$5:$B$304,"OT")&gt;0,"OT",""))))))</f>
        <v/>
      </c>
      <c r="R13" s="12" t="str">
        <f aca="false">IF(OR(R$5="",$A13=""),"",IF(COUNTIFS('Leave Log'!$A$5:$A$304,$A13,'Leave Log'!$C$5:$C$304,"&lt;="&amp;R$5,'Leave Log'!$D$5:$D$304,"&gt;="&amp;R$5,'Leave Log'!$F$5:$F$304,"&lt;&gt;Rejected",'Leave Log'!$B$5:$B$304,"AL")&gt;0,"AL",IF(COUNTIFS('Leave Log'!$A$5:$A$304,$A13,'Leave Log'!$C$5:$C$304,"&lt;="&amp;R$5,'Leave Log'!$D$5:$D$304,"&gt;="&amp;R$5,'Leave Log'!$F$5:$F$304,"&lt;&gt;Rejected",'Leave Log'!$B$5:$B$304,"SL")&gt;0,"SL",IF(COUNTIFS('Leave Log'!$A$5:$A$304,$A13,'Leave Log'!$C$5:$C$304,"&lt;="&amp;R$5,'Leave Log'!$D$5:$D$304,"&gt;="&amp;R$5,'Leave Log'!$F$5:$F$304,"&lt;&gt;Rejected",'Leave Log'!$B$5:$B$304,"CL")&gt;0,"CL",IF(COUNTIFS('Leave Log'!$A$5:$A$304,$A13,'Leave Log'!$C$5:$C$304,"&lt;="&amp;R$5,'Leave Log'!$D$5:$D$304,"&gt;="&amp;R$5,'Leave Log'!$F$5:$F$304,"&lt;&gt;Rejected",'Leave Log'!$B$5:$B$304,"UL")&gt;0,"UL",IF(COUNTIFS('Leave Log'!$A$5:$A$304,$A13,'Leave Log'!$C$5:$C$304,"&lt;="&amp;R$5,'Leave Log'!$D$5:$D$304,"&gt;="&amp;R$5,'Leave Log'!$F$5:$F$304,"&lt;&gt;Rejected",'Leave Log'!$B$5:$B$304,"OT")&gt;0,"OT",""))))))</f>
        <v/>
      </c>
      <c r="S13" s="12" t="str">
        <f aca="false">IF(OR(S$5="",$A13=""),"",IF(COUNTIFS('Leave Log'!$A$5:$A$304,$A13,'Leave Log'!$C$5:$C$304,"&lt;="&amp;S$5,'Leave Log'!$D$5:$D$304,"&gt;="&amp;S$5,'Leave Log'!$F$5:$F$304,"&lt;&gt;Rejected",'Leave Log'!$B$5:$B$304,"AL")&gt;0,"AL",IF(COUNTIFS('Leave Log'!$A$5:$A$304,$A13,'Leave Log'!$C$5:$C$304,"&lt;="&amp;S$5,'Leave Log'!$D$5:$D$304,"&gt;="&amp;S$5,'Leave Log'!$F$5:$F$304,"&lt;&gt;Rejected",'Leave Log'!$B$5:$B$304,"SL")&gt;0,"SL",IF(COUNTIFS('Leave Log'!$A$5:$A$304,$A13,'Leave Log'!$C$5:$C$304,"&lt;="&amp;S$5,'Leave Log'!$D$5:$D$304,"&gt;="&amp;S$5,'Leave Log'!$F$5:$F$304,"&lt;&gt;Rejected",'Leave Log'!$B$5:$B$304,"CL")&gt;0,"CL",IF(COUNTIFS('Leave Log'!$A$5:$A$304,$A13,'Leave Log'!$C$5:$C$304,"&lt;="&amp;S$5,'Leave Log'!$D$5:$D$304,"&gt;="&amp;S$5,'Leave Log'!$F$5:$F$304,"&lt;&gt;Rejected",'Leave Log'!$B$5:$B$304,"UL")&gt;0,"UL",IF(COUNTIFS('Leave Log'!$A$5:$A$304,$A13,'Leave Log'!$C$5:$C$304,"&lt;="&amp;S$5,'Leave Log'!$D$5:$D$304,"&gt;="&amp;S$5,'Leave Log'!$F$5:$F$304,"&lt;&gt;Rejected",'Leave Log'!$B$5:$B$304,"OT")&gt;0,"OT",""))))))</f>
        <v/>
      </c>
      <c r="T13" s="12" t="str">
        <f aca="false">IF(OR(T$5="",$A13=""),"",IF(COUNTIFS('Leave Log'!$A$5:$A$304,$A13,'Leave Log'!$C$5:$C$304,"&lt;="&amp;T$5,'Leave Log'!$D$5:$D$304,"&gt;="&amp;T$5,'Leave Log'!$F$5:$F$304,"&lt;&gt;Rejected",'Leave Log'!$B$5:$B$304,"AL")&gt;0,"AL",IF(COUNTIFS('Leave Log'!$A$5:$A$304,$A13,'Leave Log'!$C$5:$C$304,"&lt;="&amp;T$5,'Leave Log'!$D$5:$D$304,"&gt;="&amp;T$5,'Leave Log'!$F$5:$F$304,"&lt;&gt;Rejected",'Leave Log'!$B$5:$B$304,"SL")&gt;0,"SL",IF(COUNTIFS('Leave Log'!$A$5:$A$304,$A13,'Leave Log'!$C$5:$C$304,"&lt;="&amp;T$5,'Leave Log'!$D$5:$D$304,"&gt;="&amp;T$5,'Leave Log'!$F$5:$F$304,"&lt;&gt;Rejected",'Leave Log'!$B$5:$B$304,"CL")&gt;0,"CL",IF(COUNTIFS('Leave Log'!$A$5:$A$304,$A13,'Leave Log'!$C$5:$C$304,"&lt;="&amp;T$5,'Leave Log'!$D$5:$D$304,"&gt;="&amp;T$5,'Leave Log'!$F$5:$F$304,"&lt;&gt;Rejected",'Leave Log'!$B$5:$B$304,"UL")&gt;0,"UL",IF(COUNTIFS('Leave Log'!$A$5:$A$304,$A13,'Leave Log'!$C$5:$C$304,"&lt;="&amp;T$5,'Leave Log'!$D$5:$D$304,"&gt;="&amp;T$5,'Leave Log'!$F$5:$F$304,"&lt;&gt;Rejected",'Leave Log'!$B$5:$B$304,"OT")&gt;0,"OT",""))))))</f>
        <v/>
      </c>
      <c r="U13" s="12" t="str">
        <f aca="false">IF(OR(U$5="",$A13=""),"",IF(COUNTIFS('Leave Log'!$A$5:$A$304,$A13,'Leave Log'!$C$5:$C$304,"&lt;="&amp;U$5,'Leave Log'!$D$5:$D$304,"&gt;="&amp;U$5,'Leave Log'!$F$5:$F$304,"&lt;&gt;Rejected",'Leave Log'!$B$5:$B$304,"AL")&gt;0,"AL",IF(COUNTIFS('Leave Log'!$A$5:$A$304,$A13,'Leave Log'!$C$5:$C$304,"&lt;="&amp;U$5,'Leave Log'!$D$5:$D$304,"&gt;="&amp;U$5,'Leave Log'!$F$5:$F$304,"&lt;&gt;Rejected",'Leave Log'!$B$5:$B$304,"SL")&gt;0,"SL",IF(COUNTIFS('Leave Log'!$A$5:$A$304,$A13,'Leave Log'!$C$5:$C$304,"&lt;="&amp;U$5,'Leave Log'!$D$5:$D$304,"&gt;="&amp;U$5,'Leave Log'!$F$5:$F$304,"&lt;&gt;Rejected",'Leave Log'!$B$5:$B$304,"CL")&gt;0,"CL",IF(COUNTIFS('Leave Log'!$A$5:$A$304,$A13,'Leave Log'!$C$5:$C$304,"&lt;="&amp;U$5,'Leave Log'!$D$5:$D$304,"&gt;="&amp;U$5,'Leave Log'!$F$5:$F$304,"&lt;&gt;Rejected",'Leave Log'!$B$5:$B$304,"UL")&gt;0,"UL",IF(COUNTIFS('Leave Log'!$A$5:$A$304,$A13,'Leave Log'!$C$5:$C$304,"&lt;="&amp;U$5,'Leave Log'!$D$5:$D$304,"&gt;="&amp;U$5,'Leave Log'!$F$5:$F$304,"&lt;&gt;Rejected",'Leave Log'!$B$5:$B$304,"OT")&gt;0,"OT",""))))))</f>
        <v/>
      </c>
      <c r="V13" s="12" t="str">
        <f aca="false">IF(OR(V$5="",$A13=""),"",IF(COUNTIFS('Leave Log'!$A$5:$A$304,$A13,'Leave Log'!$C$5:$C$304,"&lt;="&amp;V$5,'Leave Log'!$D$5:$D$304,"&gt;="&amp;V$5,'Leave Log'!$F$5:$F$304,"&lt;&gt;Rejected",'Leave Log'!$B$5:$B$304,"AL")&gt;0,"AL",IF(COUNTIFS('Leave Log'!$A$5:$A$304,$A13,'Leave Log'!$C$5:$C$304,"&lt;="&amp;V$5,'Leave Log'!$D$5:$D$304,"&gt;="&amp;V$5,'Leave Log'!$F$5:$F$304,"&lt;&gt;Rejected",'Leave Log'!$B$5:$B$304,"SL")&gt;0,"SL",IF(COUNTIFS('Leave Log'!$A$5:$A$304,$A13,'Leave Log'!$C$5:$C$304,"&lt;="&amp;V$5,'Leave Log'!$D$5:$D$304,"&gt;="&amp;V$5,'Leave Log'!$F$5:$F$304,"&lt;&gt;Rejected",'Leave Log'!$B$5:$B$304,"CL")&gt;0,"CL",IF(COUNTIFS('Leave Log'!$A$5:$A$304,$A13,'Leave Log'!$C$5:$C$304,"&lt;="&amp;V$5,'Leave Log'!$D$5:$D$304,"&gt;="&amp;V$5,'Leave Log'!$F$5:$F$304,"&lt;&gt;Rejected",'Leave Log'!$B$5:$B$304,"UL")&gt;0,"UL",IF(COUNTIFS('Leave Log'!$A$5:$A$304,$A13,'Leave Log'!$C$5:$C$304,"&lt;="&amp;V$5,'Leave Log'!$D$5:$D$304,"&gt;="&amp;V$5,'Leave Log'!$F$5:$F$304,"&lt;&gt;Rejected",'Leave Log'!$B$5:$B$304,"OT")&gt;0,"OT",""))))))</f>
        <v/>
      </c>
      <c r="W13" s="12" t="str">
        <f aca="false">IF(OR(W$5="",$A13=""),"",IF(COUNTIFS('Leave Log'!$A$5:$A$304,$A13,'Leave Log'!$C$5:$C$304,"&lt;="&amp;W$5,'Leave Log'!$D$5:$D$304,"&gt;="&amp;W$5,'Leave Log'!$F$5:$F$304,"&lt;&gt;Rejected",'Leave Log'!$B$5:$B$304,"AL")&gt;0,"AL",IF(COUNTIFS('Leave Log'!$A$5:$A$304,$A13,'Leave Log'!$C$5:$C$304,"&lt;="&amp;W$5,'Leave Log'!$D$5:$D$304,"&gt;="&amp;W$5,'Leave Log'!$F$5:$F$304,"&lt;&gt;Rejected",'Leave Log'!$B$5:$B$304,"SL")&gt;0,"SL",IF(COUNTIFS('Leave Log'!$A$5:$A$304,$A13,'Leave Log'!$C$5:$C$304,"&lt;="&amp;W$5,'Leave Log'!$D$5:$D$304,"&gt;="&amp;W$5,'Leave Log'!$F$5:$F$304,"&lt;&gt;Rejected",'Leave Log'!$B$5:$B$304,"CL")&gt;0,"CL",IF(COUNTIFS('Leave Log'!$A$5:$A$304,$A13,'Leave Log'!$C$5:$C$304,"&lt;="&amp;W$5,'Leave Log'!$D$5:$D$304,"&gt;="&amp;W$5,'Leave Log'!$F$5:$F$304,"&lt;&gt;Rejected",'Leave Log'!$B$5:$B$304,"UL")&gt;0,"UL",IF(COUNTIFS('Leave Log'!$A$5:$A$304,$A13,'Leave Log'!$C$5:$C$304,"&lt;="&amp;W$5,'Leave Log'!$D$5:$D$304,"&gt;="&amp;W$5,'Leave Log'!$F$5:$F$304,"&lt;&gt;Rejected",'Leave Log'!$B$5:$B$304,"OT")&gt;0,"OT",""))))))</f>
        <v/>
      </c>
      <c r="X13" s="12" t="str">
        <f aca="false">IF(OR(X$5="",$A13=""),"",IF(COUNTIFS('Leave Log'!$A$5:$A$304,$A13,'Leave Log'!$C$5:$C$304,"&lt;="&amp;X$5,'Leave Log'!$D$5:$D$304,"&gt;="&amp;X$5,'Leave Log'!$F$5:$F$304,"&lt;&gt;Rejected",'Leave Log'!$B$5:$B$304,"AL")&gt;0,"AL",IF(COUNTIFS('Leave Log'!$A$5:$A$304,$A13,'Leave Log'!$C$5:$C$304,"&lt;="&amp;X$5,'Leave Log'!$D$5:$D$304,"&gt;="&amp;X$5,'Leave Log'!$F$5:$F$304,"&lt;&gt;Rejected",'Leave Log'!$B$5:$B$304,"SL")&gt;0,"SL",IF(COUNTIFS('Leave Log'!$A$5:$A$304,$A13,'Leave Log'!$C$5:$C$304,"&lt;="&amp;X$5,'Leave Log'!$D$5:$D$304,"&gt;="&amp;X$5,'Leave Log'!$F$5:$F$304,"&lt;&gt;Rejected",'Leave Log'!$B$5:$B$304,"CL")&gt;0,"CL",IF(COUNTIFS('Leave Log'!$A$5:$A$304,$A13,'Leave Log'!$C$5:$C$304,"&lt;="&amp;X$5,'Leave Log'!$D$5:$D$304,"&gt;="&amp;X$5,'Leave Log'!$F$5:$F$304,"&lt;&gt;Rejected",'Leave Log'!$B$5:$B$304,"UL")&gt;0,"UL",IF(COUNTIFS('Leave Log'!$A$5:$A$304,$A13,'Leave Log'!$C$5:$C$304,"&lt;="&amp;X$5,'Leave Log'!$D$5:$D$304,"&gt;="&amp;X$5,'Leave Log'!$F$5:$F$304,"&lt;&gt;Rejected",'Leave Log'!$B$5:$B$304,"OT")&gt;0,"OT",""))))))</f>
        <v/>
      </c>
      <c r="Y13" s="12" t="str">
        <f aca="false">IF(OR(Y$5="",$A13=""),"",IF(COUNTIFS('Leave Log'!$A$5:$A$304,$A13,'Leave Log'!$C$5:$C$304,"&lt;="&amp;Y$5,'Leave Log'!$D$5:$D$304,"&gt;="&amp;Y$5,'Leave Log'!$F$5:$F$304,"&lt;&gt;Rejected",'Leave Log'!$B$5:$B$304,"AL")&gt;0,"AL",IF(COUNTIFS('Leave Log'!$A$5:$A$304,$A13,'Leave Log'!$C$5:$C$304,"&lt;="&amp;Y$5,'Leave Log'!$D$5:$D$304,"&gt;="&amp;Y$5,'Leave Log'!$F$5:$F$304,"&lt;&gt;Rejected",'Leave Log'!$B$5:$B$304,"SL")&gt;0,"SL",IF(COUNTIFS('Leave Log'!$A$5:$A$304,$A13,'Leave Log'!$C$5:$C$304,"&lt;="&amp;Y$5,'Leave Log'!$D$5:$D$304,"&gt;="&amp;Y$5,'Leave Log'!$F$5:$F$304,"&lt;&gt;Rejected",'Leave Log'!$B$5:$B$304,"CL")&gt;0,"CL",IF(COUNTIFS('Leave Log'!$A$5:$A$304,$A13,'Leave Log'!$C$5:$C$304,"&lt;="&amp;Y$5,'Leave Log'!$D$5:$D$304,"&gt;="&amp;Y$5,'Leave Log'!$F$5:$F$304,"&lt;&gt;Rejected",'Leave Log'!$B$5:$B$304,"UL")&gt;0,"UL",IF(COUNTIFS('Leave Log'!$A$5:$A$304,$A13,'Leave Log'!$C$5:$C$304,"&lt;="&amp;Y$5,'Leave Log'!$D$5:$D$304,"&gt;="&amp;Y$5,'Leave Log'!$F$5:$F$304,"&lt;&gt;Rejected",'Leave Log'!$B$5:$B$304,"OT")&gt;0,"OT",""))))))</f>
        <v/>
      </c>
      <c r="Z13" s="12" t="str">
        <f aca="false">IF(OR(Z$5="",$A13=""),"",IF(COUNTIFS('Leave Log'!$A$5:$A$304,$A13,'Leave Log'!$C$5:$C$304,"&lt;="&amp;Z$5,'Leave Log'!$D$5:$D$304,"&gt;="&amp;Z$5,'Leave Log'!$F$5:$F$304,"&lt;&gt;Rejected",'Leave Log'!$B$5:$B$304,"AL")&gt;0,"AL",IF(COUNTIFS('Leave Log'!$A$5:$A$304,$A13,'Leave Log'!$C$5:$C$304,"&lt;="&amp;Z$5,'Leave Log'!$D$5:$D$304,"&gt;="&amp;Z$5,'Leave Log'!$F$5:$F$304,"&lt;&gt;Rejected",'Leave Log'!$B$5:$B$304,"SL")&gt;0,"SL",IF(COUNTIFS('Leave Log'!$A$5:$A$304,$A13,'Leave Log'!$C$5:$C$304,"&lt;="&amp;Z$5,'Leave Log'!$D$5:$D$304,"&gt;="&amp;Z$5,'Leave Log'!$F$5:$F$304,"&lt;&gt;Rejected",'Leave Log'!$B$5:$B$304,"CL")&gt;0,"CL",IF(COUNTIFS('Leave Log'!$A$5:$A$304,$A13,'Leave Log'!$C$5:$C$304,"&lt;="&amp;Z$5,'Leave Log'!$D$5:$D$304,"&gt;="&amp;Z$5,'Leave Log'!$F$5:$F$304,"&lt;&gt;Rejected",'Leave Log'!$B$5:$B$304,"UL")&gt;0,"UL",IF(COUNTIFS('Leave Log'!$A$5:$A$304,$A13,'Leave Log'!$C$5:$C$304,"&lt;="&amp;Z$5,'Leave Log'!$D$5:$D$304,"&gt;="&amp;Z$5,'Leave Log'!$F$5:$F$304,"&lt;&gt;Rejected",'Leave Log'!$B$5:$B$304,"OT")&gt;0,"OT",""))))))</f>
        <v/>
      </c>
      <c r="AA13" s="12" t="str">
        <f aca="false">IF(OR(AA$5="",$A13=""),"",IF(COUNTIFS('Leave Log'!$A$5:$A$304,$A13,'Leave Log'!$C$5:$C$304,"&lt;="&amp;AA$5,'Leave Log'!$D$5:$D$304,"&gt;="&amp;AA$5,'Leave Log'!$F$5:$F$304,"&lt;&gt;Rejected",'Leave Log'!$B$5:$B$304,"AL")&gt;0,"AL",IF(COUNTIFS('Leave Log'!$A$5:$A$304,$A13,'Leave Log'!$C$5:$C$304,"&lt;="&amp;AA$5,'Leave Log'!$D$5:$D$304,"&gt;="&amp;AA$5,'Leave Log'!$F$5:$F$304,"&lt;&gt;Rejected",'Leave Log'!$B$5:$B$304,"SL")&gt;0,"SL",IF(COUNTIFS('Leave Log'!$A$5:$A$304,$A13,'Leave Log'!$C$5:$C$304,"&lt;="&amp;AA$5,'Leave Log'!$D$5:$D$304,"&gt;="&amp;AA$5,'Leave Log'!$F$5:$F$304,"&lt;&gt;Rejected",'Leave Log'!$B$5:$B$304,"CL")&gt;0,"CL",IF(COUNTIFS('Leave Log'!$A$5:$A$304,$A13,'Leave Log'!$C$5:$C$304,"&lt;="&amp;AA$5,'Leave Log'!$D$5:$D$304,"&gt;="&amp;AA$5,'Leave Log'!$F$5:$F$304,"&lt;&gt;Rejected",'Leave Log'!$B$5:$B$304,"UL")&gt;0,"UL",IF(COUNTIFS('Leave Log'!$A$5:$A$304,$A13,'Leave Log'!$C$5:$C$304,"&lt;="&amp;AA$5,'Leave Log'!$D$5:$D$304,"&gt;="&amp;AA$5,'Leave Log'!$F$5:$F$304,"&lt;&gt;Rejected",'Leave Log'!$B$5:$B$304,"OT")&gt;0,"OT",""))))))</f>
        <v/>
      </c>
      <c r="AB13" s="12" t="str">
        <f aca="false">IF(OR(AB$5="",$A13=""),"",IF(COUNTIFS('Leave Log'!$A$5:$A$304,$A13,'Leave Log'!$C$5:$C$304,"&lt;="&amp;AB$5,'Leave Log'!$D$5:$D$304,"&gt;="&amp;AB$5,'Leave Log'!$F$5:$F$304,"&lt;&gt;Rejected",'Leave Log'!$B$5:$B$304,"AL")&gt;0,"AL",IF(COUNTIFS('Leave Log'!$A$5:$A$304,$A13,'Leave Log'!$C$5:$C$304,"&lt;="&amp;AB$5,'Leave Log'!$D$5:$D$304,"&gt;="&amp;AB$5,'Leave Log'!$F$5:$F$304,"&lt;&gt;Rejected",'Leave Log'!$B$5:$B$304,"SL")&gt;0,"SL",IF(COUNTIFS('Leave Log'!$A$5:$A$304,$A13,'Leave Log'!$C$5:$C$304,"&lt;="&amp;AB$5,'Leave Log'!$D$5:$D$304,"&gt;="&amp;AB$5,'Leave Log'!$F$5:$F$304,"&lt;&gt;Rejected",'Leave Log'!$B$5:$B$304,"CL")&gt;0,"CL",IF(COUNTIFS('Leave Log'!$A$5:$A$304,$A13,'Leave Log'!$C$5:$C$304,"&lt;="&amp;AB$5,'Leave Log'!$D$5:$D$304,"&gt;="&amp;AB$5,'Leave Log'!$F$5:$F$304,"&lt;&gt;Rejected",'Leave Log'!$B$5:$B$304,"UL")&gt;0,"UL",IF(COUNTIFS('Leave Log'!$A$5:$A$304,$A13,'Leave Log'!$C$5:$C$304,"&lt;="&amp;AB$5,'Leave Log'!$D$5:$D$304,"&gt;="&amp;AB$5,'Leave Log'!$F$5:$F$304,"&lt;&gt;Rejected",'Leave Log'!$B$5:$B$304,"OT")&gt;0,"OT",""))))))</f>
        <v/>
      </c>
      <c r="AC13" s="12" t="str">
        <f aca="false">IF(OR(AC$5="",$A13=""),"",IF(COUNTIFS('Leave Log'!$A$5:$A$304,$A13,'Leave Log'!$C$5:$C$304,"&lt;="&amp;AC$5,'Leave Log'!$D$5:$D$304,"&gt;="&amp;AC$5,'Leave Log'!$F$5:$F$304,"&lt;&gt;Rejected",'Leave Log'!$B$5:$B$304,"AL")&gt;0,"AL",IF(COUNTIFS('Leave Log'!$A$5:$A$304,$A13,'Leave Log'!$C$5:$C$304,"&lt;="&amp;AC$5,'Leave Log'!$D$5:$D$304,"&gt;="&amp;AC$5,'Leave Log'!$F$5:$F$304,"&lt;&gt;Rejected",'Leave Log'!$B$5:$B$304,"SL")&gt;0,"SL",IF(COUNTIFS('Leave Log'!$A$5:$A$304,$A13,'Leave Log'!$C$5:$C$304,"&lt;="&amp;AC$5,'Leave Log'!$D$5:$D$304,"&gt;="&amp;AC$5,'Leave Log'!$F$5:$F$304,"&lt;&gt;Rejected",'Leave Log'!$B$5:$B$304,"CL")&gt;0,"CL",IF(COUNTIFS('Leave Log'!$A$5:$A$304,$A13,'Leave Log'!$C$5:$C$304,"&lt;="&amp;AC$5,'Leave Log'!$D$5:$D$304,"&gt;="&amp;AC$5,'Leave Log'!$F$5:$F$304,"&lt;&gt;Rejected",'Leave Log'!$B$5:$B$304,"UL")&gt;0,"UL",IF(COUNTIFS('Leave Log'!$A$5:$A$304,$A13,'Leave Log'!$C$5:$C$304,"&lt;="&amp;AC$5,'Leave Log'!$D$5:$D$304,"&gt;="&amp;AC$5,'Leave Log'!$F$5:$F$304,"&lt;&gt;Rejected",'Leave Log'!$B$5:$B$304,"OT")&gt;0,"OT",""))))))</f>
        <v/>
      </c>
      <c r="AD13" s="12" t="str">
        <f aca="false">IF(OR(AD$5="",$A13=""),"",IF(COUNTIFS('Leave Log'!$A$5:$A$304,$A13,'Leave Log'!$C$5:$C$304,"&lt;="&amp;AD$5,'Leave Log'!$D$5:$D$304,"&gt;="&amp;AD$5,'Leave Log'!$F$5:$F$304,"&lt;&gt;Rejected",'Leave Log'!$B$5:$B$304,"AL")&gt;0,"AL",IF(COUNTIFS('Leave Log'!$A$5:$A$304,$A13,'Leave Log'!$C$5:$C$304,"&lt;="&amp;AD$5,'Leave Log'!$D$5:$D$304,"&gt;="&amp;AD$5,'Leave Log'!$F$5:$F$304,"&lt;&gt;Rejected",'Leave Log'!$B$5:$B$304,"SL")&gt;0,"SL",IF(COUNTIFS('Leave Log'!$A$5:$A$304,$A13,'Leave Log'!$C$5:$C$304,"&lt;="&amp;AD$5,'Leave Log'!$D$5:$D$304,"&gt;="&amp;AD$5,'Leave Log'!$F$5:$F$304,"&lt;&gt;Rejected",'Leave Log'!$B$5:$B$304,"CL")&gt;0,"CL",IF(COUNTIFS('Leave Log'!$A$5:$A$304,$A13,'Leave Log'!$C$5:$C$304,"&lt;="&amp;AD$5,'Leave Log'!$D$5:$D$304,"&gt;="&amp;AD$5,'Leave Log'!$F$5:$F$304,"&lt;&gt;Rejected",'Leave Log'!$B$5:$B$304,"UL")&gt;0,"UL",IF(COUNTIFS('Leave Log'!$A$5:$A$304,$A13,'Leave Log'!$C$5:$C$304,"&lt;="&amp;AD$5,'Leave Log'!$D$5:$D$304,"&gt;="&amp;AD$5,'Leave Log'!$F$5:$F$304,"&lt;&gt;Rejected",'Leave Log'!$B$5:$B$304,"OT")&gt;0,"OT",""))))))</f>
        <v/>
      </c>
      <c r="AE13" s="12" t="str">
        <f aca="false">IF(OR(AE$5="",$A13=""),"",IF(COUNTIFS('Leave Log'!$A$5:$A$304,$A13,'Leave Log'!$C$5:$C$304,"&lt;="&amp;AE$5,'Leave Log'!$D$5:$D$304,"&gt;="&amp;AE$5,'Leave Log'!$F$5:$F$304,"&lt;&gt;Rejected",'Leave Log'!$B$5:$B$304,"AL")&gt;0,"AL",IF(COUNTIFS('Leave Log'!$A$5:$A$304,$A13,'Leave Log'!$C$5:$C$304,"&lt;="&amp;AE$5,'Leave Log'!$D$5:$D$304,"&gt;="&amp;AE$5,'Leave Log'!$F$5:$F$304,"&lt;&gt;Rejected",'Leave Log'!$B$5:$B$304,"SL")&gt;0,"SL",IF(COUNTIFS('Leave Log'!$A$5:$A$304,$A13,'Leave Log'!$C$5:$C$304,"&lt;="&amp;AE$5,'Leave Log'!$D$5:$D$304,"&gt;="&amp;AE$5,'Leave Log'!$F$5:$F$304,"&lt;&gt;Rejected",'Leave Log'!$B$5:$B$304,"CL")&gt;0,"CL",IF(COUNTIFS('Leave Log'!$A$5:$A$304,$A13,'Leave Log'!$C$5:$C$304,"&lt;="&amp;AE$5,'Leave Log'!$D$5:$D$304,"&gt;="&amp;AE$5,'Leave Log'!$F$5:$F$304,"&lt;&gt;Rejected",'Leave Log'!$B$5:$B$304,"UL")&gt;0,"UL",IF(COUNTIFS('Leave Log'!$A$5:$A$304,$A13,'Leave Log'!$C$5:$C$304,"&lt;="&amp;AE$5,'Leave Log'!$D$5:$D$304,"&gt;="&amp;AE$5,'Leave Log'!$F$5:$F$304,"&lt;&gt;Rejected",'Leave Log'!$B$5:$B$304,"OT")&gt;0,"OT",""))))))</f>
        <v/>
      </c>
      <c r="AF13" s="12" t="str">
        <f aca="false">IF(OR(AF$5="",$A13=""),"",IF(COUNTIFS('Leave Log'!$A$5:$A$304,$A13,'Leave Log'!$C$5:$C$304,"&lt;="&amp;AF$5,'Leave Log'!$D$5:$D$304,"&gt;="&amp;AF$5,'Leave Log'!$F$5:$F$304,"&lt;&gt;Rejected",'Leave Log'!$B$5:$B$304,"AL")&gt;0,"AL",IF(COUNTIFS('Leave Log'!$A$5:$A$304,$A13,'Leave Log'!$C$5:$C$304,"&lt;="&amp;AF$5,'Leave Log'!$D$5:$D$304,"&gt;="&amp;AF$5,'Leave Log'!$F$5:$F$304,"&lt;&gt;Rejected",'Leave Log'!$B$5:$B$304,"SL")&gt;0,"SL",IF(COUNTIFS('Leave Log'!$A$5:$A$304,$A13,'Leave Log'!$C$5:$C$304,"&lt;="&amp;AF$5,'Leave Log'!$D$5:$D$304,"&gt;="&amp;AF$5,'Leave Log'!$F$5:$F$304,"&lt;&gt;Rejected",'Leave Log'!$B$5:$B$304,"CL")&gt;0,"CL",IF(COUNTIFS('Leave Log'!$A$5:$A$304,$A13,'Leave Log'!$C$5:$C$304,"&lt;="&amp;AF$5,'Leave Log'!$D$5:$D$304,"&gt;="&amp;AF$5,'Leave Log'!$F$5:$F$304,"&lt;&gt;Rejected",'Leave Log'!$B$5:$B$304,"UL")&gt;0,"UL",IF(COUNTIFS('Leave Log'!$A$5:$A$304,$A13,'Leave Log'!$C$5:$C$304,"&lt;="&amp;AF$5,'Leave Log'!$D$5:$D$304,"&gt;="&amp;AF$5,'Leave Log'!$F$5:$F$304,"&lt;&gt;Rejected",'Leave Log'!$B$5:$B$304,"OT")&gt;0,"OT",""))))))</f>
        <v/>
      </c>
      <c r="AG13" s="12" t="str">
        <f aca="false">IF(OR(AG$5="",$A13=""),"",IF(COUNTIFS('Leave Log'!$A$5:$A$304,$A13,'Leave Log'!$C$5:$C$304,"&lt;="&amp;AG$5,'Leave Log'!$D$5:$D$304,"&gt;="&amp;AG$5,'Leave Log'!$F$5:$F$304,"&lt;&gt;Rejected",'Leave Log'!$B$5:$B$304,"AL")&gt;0,"AL",IF(COUNTIFS('Leave Log'!$A$5:$A$304,$A13,'Leave Log'!$C$5:$C$304,"&lt;="&amp;AG$5,'Leave Log'!$D$5:$D$304,"&gt;="&amp;AG$5,'Leave Log'!$F$5:$F$304,"&lt;&gt;Rejected",'Leave Log'!$B$5:$B$304,"SL")&gt;0,"SL",IF(COUNTIFS('Leave Log'!$A$5:$A$304,$A13,'Leave Log'!$C$5:$C$304,"&lt;="&amp;AG$5,'Leave Log'!$D$5:$D$304,"&gt;="&amp;AG$5,'Leave Log'!$F$5:$F$304,"&lt;&gt;Rejected",'Leave Log'!$B$5:$B$304,"CL")&gt;0,"CL",IF(COUNTIFS('Leave Log'!$A$5:$A$304,$A13,'Leave Log'!$C$5:$C$304,"&lt;="&amp;AG$5,'Leave Log'!$D$5:$D$304,"&gt;="&amp;AG$5,'Leave Log'!$F$5:$F$304,"&lt;&gt;Rejected",'Leave Log'!$B$5:$B$304,"UL")&gt;0,"UL",IF(COUNTIFS('Leave Log'!$A$5:$A$304,$A13,'Leave Log'!$C$5:$C$304,"&lt;="&amp;AG$5,'Leave Log'!$D$5:$D$304,"&gt;="&amp;AG$5,'Leave Log'!$F$5:$F$304,"&lt;&gt;Rejected",'Leave Log'!$B$5:$B$304,"OT")&gt;0,"OT",""))))))</f>
        <v/>
      </c>
    </row>
    <row r="14" customFormat="false" ht="15" hidden="false" customHeight="false" outlineLevel="0" collapsed="false">
      <c r="A14" s="3" t="str">
        <f aca="false">IF(Employees!B13="","",Employees!B13)</f>
        <v/>
      </c>
      <c r="B14" s="11" t="str">
        <f aca="false">IF(Employees!B13="","",Employees!C13)</f>
        <v/>
      </c>
      <c r="C14" s="12" t="str">
        <f aca="false">IF(OR(C$5="",$A14=""),"",IF(COUNTIFS('Leave Log'!$A$5:$A$304,$A14,'Leave Log'!$C$5:$C$304,"&lt;="&amp;C$5,'Leave Log'!$D$5:$D$304,"&gt;="&amp;C$5,'Leave Log'!$F$5:$F$304,"&lt;&gt;Rejected",'Leave Log'!$B$5:$B$304,"AL")&gt;0,"AL",IF(COUNTIFS('Leave Log'!$A$5:$A$304,$A14,'Leave Log'!$C$5:$C$304,"&lt;="&amp;C$5,'Leave Log'!$D$5:$D$304,"&gt;="&amp;C$5,'Leave Log'!$F$5:$F$304,"&lt;&gt;Rejected",'Leave Log'!$B$5:$B$304,"SL")&gt;0,"SL",IF(COUNTIFS('Leave Log'!$A$5:$A$304,$A14,'Leave Log'!$C$5:$C$304,"&lt;="&amp;C$5,'Leave Log'!$D$5:$D$304,"&gt;="&amp;C$5,'Leave Log'!$F$5:$F$304,"&lt;&gt;Rejected",'Leave Log'!$B$5:$B$304,"CL")&gt;0,"CL",IF(COUNTIFS('Leave Log'!$A$5:$A$304,$A14,'Leave Log'!$C$5:$C$304,"&lt;="&amp;C$5,'Leave Log'!$D$5:$D$304,"&gt;="&amp;C$5,'Leave Log'!$F$5:$F$304,"&lt;&gt;Rejected",'Leave Log'!$B$5:$B$304,"UL")&gt;0,"UL",IF(COUNTIFS('Leave Log'!$A$5:$A$304,$A14,'Leave Log'!$C$5:$C$304,"&lt;="&amp;C$5,'Leave Log'!$D$5:$D$304,"&gt;="&amp;C$5,'Leave Log'!$F$5:$F$304,"&lt;&gt;Rejected",'Leave Log'!$B$5:$B$304,"OT")&gt;0,"OT",""))))))</f>
        <v/>
      </c>
      <c r="D14" s="12" t="str">
        <f aca="false">IF(OR(D$5="",$A14=""),"",IF(COUNTIFS('Leave Log'!$A$5:$A$304,$A14,'Leave Log'!$C$5:$C$304,"&lt;="&amp;D$5,'Leave Log'!$D$5:$D$304,"&gt;="&amp;D$5,'Leave Log'!$F$5:$F$304,"&lt;&gt;Rejected",'Leave Log'!$B$5:$B$304,"AL")&gt;0,"AL",IF(COUNTIFS('Leave Log'!$A$5:$A$304,$A14,'Leave Log'!$C$5:$C$304,"&lt;="&amp;D$5,'Leave Log'!$D$5:$D$304,"&gt;="&amp;D$5,'Leave Log'!$F$5:$F$304,"&lt;&gt;Rejected",'Leave Log'!$B$5:$B$304,"SL")&gt;0,"SL",IF(COUNTIFS('Leave Log'!$A$5:$A$304,$A14,'Leave Log'!$C$5:$C$304,"&lt;="&amp;D$5,'Leave Log'!$D$5:$D$304,"&gt;="&amp;D$5,'Leave Log'!$F$5:$F$304,"&lt;&gt;Rejected",'Leave Log'!$B$5:$B$304,"CL")&gt;0,"CL",IF(COUNTIFS('Leave Log'!$A$5:$A$304,$A14,'Leave Log'!$C$5:$C$304,"&lt;="&amp;D$5,'Leave Log'!$D$5:$D$304,"&gt;="&amp;D$5,'Leave Log'!$F$5:$F$304,"&lt;&gt;Rejected",'Leave Log'!$B$5:$B$304,"UL")&gt;0,"UL",IF(COUNTIFS('Leave Log'!$A$5:$A$304,$A14,'Leave Log'!$C$5:$C$304,"&lt;="&amp;D$5,'Leave Log'!$D$5:$D$304,"&gt;="&amp;D$5,'Leave Log'!$F$5:$F$304,"&lt;&gt;Rejected",'Leave Log'!$B$5:$B$304,"OT")&gt;0,"OT",""))))))</f>
        <v/>
      </c>
      <c r="E14" s="12" t="str">
        <f aca="false">IF(OR(E$5="",$A14=""),"",IF(COUNTIFS('Leave Log'!$A$5:$A$304,$A14,'Leave Log'!$C$5:$C$304,"&lt;="&amp;E$5,'Leave Log'!$D$5:$D$304,"&gt;="&amp;E$5,'Leave Log'!$F$5:$F$304,"&lt;&gt;Rejected",'Leave Log'!$B$5:$B$304,"AL")&gt;0,"AL",IF(COUNTIFS('Leave Log'!$A$5:$A$304,$A14,'Leave Log'!$C$5:$C$304,"&lt;="&amp;E$5,'Leave Log'!$D$5:$D$304,"&gt;="&amp;E$5,'Leave Log'!$F$5:$F$304,"&lt;&gt;Rejected",'Leave Log'!$B$5:$B$304,"SL")&gt;0,"SL",IF(COUNTIFS('Leave Log'!$A$5:$A$304,$A14,'Leave Log'!$C$5:$C$304,"&lt;="&amp;E$5,'Leave Log'!$D$5:$D$304,"&gt;="&amp;E$5,'Leave Log'!$F$5:$F$304,"&lt;&gt;Rejected",'Leave Log'!$B$5:$B$304,"CL")&gt;0,"CL",IF(COUNTIFS('Leave Log'!$A$5:$A$304,$A14,'Leave Log'!$C$5:$C$304,"&lt;="&amp;E$5,'Leave Log'!$D$5:$D$304,"&gt;="&amp;E$5,'Leave Log'!$F$5:$F$304,"&lt;&gt;Rejected",'Leave Log'!$B$5:$B$304,"UL")&gt;0,"UL",IF(COUNTIFS('Leave Log'!$A$5:$A$304,$A14,'Leave Log'!$C$5:$C$304,"&lt;="&amp;E$5,'Leave Log'!$D$5:$D$304,"&gt;="&amp;E$5,'Leave Log'!$F$5:$F$304,"&lt;&gt;Rejected",'Leave Log'!$B$5:$B$304,"OT")&gt;0,"OT",""))))))</f>
        <v/>
      </c>
      <c r="F14" s="12" t="str">
        <f aca="false">IF(OR(F$5="",$A14=""),"",IF(COUNTIFS('Leave Log'!$A$5:$A$304,$A14,'Leave Log'!$C$5:$C$304,"&lt;="&amp;F$5,'Leave Log'!$D$5:$D$304,"&gt;="&amp;F$5,'Leave Log'!$F$5:$F$304,"&lt;&gt;Rejected",'Leave Log'!$B$5:$B$304,"AL")&gt;0,"AL",IF(COUNTIFS('Leave Log'!$A$5:$A$304,$A14,'Leave Log'!$C$5:$C$304,"&lt;="&amp;F$5,'Leave Log'!$D$5:$D$304,"&gt;="&amp;F$5,'Leave Log'!$F$5:$F$304,"&lt;&gt;Rejected",'Leave Log'!$B$5:$B$304,"SL")&gt;0,"SL",IF(COUNTIFS('Leave Log'!$A$5:$A$304,$A14,'Leave Log'!$C$5:$C$304,"&lt;="&amp;F$5,'Leave Log'!$D$5:$D$304,"&gt;="&amp;F$5,'Leave Log'!$F$5:$F$304,"&lt;&gt;Rejected",'Leave Log'!$B$5:$B$304,"CL")&gt;0,"CL",IF(COUNTIFS('Leave Log'!$A$5:$A$304,$A14,'Leave Log'!$C$5:$C$304,"&lt;="&amp;F$5,'Leave Log'!$D$5:$D$304,"&gt;="&amp;F$5,'Leave Log'!$F$5:$F$304,"&lt;&gt;Rejected",'Leave Log'!$B$5:$B$304,"UL")&gt;0,"UL",IF(COUNTIFS('Leave Log'!$A$5:$A$304,$A14,'Leave Log'!$C$5:$C$304,"&lt;="&amp;F$5,'Leave Log'!$D$5:$D$304,"&gt;="&amp;F$5,'Leave Log'!$F$5:$F$304,"&lt;&gt;Rejected",'Leave Log'!$B$5:$B$304,"OT")&gt;0,"OT",""))))))</f>
        <v/>
      </c>
      <c r="G14" s="12" t="str">
        <f aca="false">IF(OR(G$5="",$A14=""),"",IF(COUNTIFS('Leave Log'!$A$5:$A$304,$A14,'Leave Log'!$C$5:$C$304,"&lt;="&amp;G$5,'Leave Log'!$D$5:$D$304,"&gt;="&amp;G$5,'Leave Log'!$F$5:$F$304,"&lt;&gt;Rejected",'Leave Log'!$B$5:$B$304,"AL")&gt;0,"AL",IF(COUNTIFS('Leave Log'!$A$5:$A$304,$A14,'Leave Log'!$C$5:$C$304,"&lt;="&amp;G$5,'Leave Log'!$D$5:$D$304,"&gt;="&amp;G$5,'Leave Log'!$F$5:$F$304,"&lt;&gt;Rejected",'Leave Log'!$B$5:$B$304,"SL")&gt;0,"SL",IF(COUNTIFS('Leave Log'!$A$5:$A$304,$A14,'Leave Log'!$C$5:$C$304,"&lt;="&amp;G$5,'Leave Log'!$D$5:$D$304,"&gt;="&amp;G$5,'Leave Log'!$F$5:$F$304,"&lt;&gt;Rejected",'Leave Log'!$B$5:$B$304,"CL")&gt;0,"CL",IF(COUNTIFS('Leave Log'!$A$5:$A$304,$A14,'Leave Log'!$C$5:$C$304,"&lt;="&amp;G$5,'Leave Log'!$D$5:$D$304,"&gt;="&amp;G$5,'Leave Log'!$F$5:$F$304,"&lt;&gt;Rejected",'Leave Log'!$B$5:$B$304,"UL")&gt;0,"UL",IF(COUNTIFS('Leave Log'!$A$5:$A$304,$A14,'Leave Log'!$C$5:$C$304,"&lt;="&amp;G$5,'Leave Log'!$D$5:$D$304,"&gt;="&amp;G$5,'Leave Log'!$F$5:$F$304,"&lt;&gt;Rejected",'Leave Log'!$B$5:$B$304,"OT")&gt;0,"OT",""))))))</f>
        <v/>
      </c>
      <c r="H14" s="12" t="str">
        <f aca="false">IF(OR(H$5="",$A14=""),"",IF(COUNTIFS('Leave Log'!$A$5:$A$304,$A14,'Leave Log'!$C$5:$C$304,"&lt;="&amp;H$5,'Leave Log'!$D$5:$D$304,"&gt;="&amp;H$5,'Leave Log'!$F$5:$F$304,"&lt;&gt;Rejected",'Leave Log'!$B$5:$B$304,"AL")&gt;0,"AL",IF(COUNTIFS('Leave Log'!$A$5:$A$304,$A14,'Leave Log'!$C$5:$C$304,"&lt;="&amp;H$5,'Leave Log'!$D$5:$D$304,"&gt;="&amp;H$5,'Leave Log'!$F$5:$F$304,"&lt;&gt;Rejected",'Leave Log'!$B$5:$B$304,"SL")&gt;0,"SL",IF(COUNTIFS('Leave Log'!$A$5:$A$304,$A14,'Leave Log'!$C$5:$C$304,"&lt;="&amp;H$5,'Leave Log'!$D$5:$D$304,"&gt;="&amp;H$5,'Leave Log'!$F$5:$F$304,"&lt;&gt;Rejected",'Leave Log'!$B$5:$B$304,"CL")&gt;0,"CL",IF(COUNTIFS('Leave Log'!$A$5:$A$304,$A14,'Leave Log'!$C$5:$C$304,"&lt;="&amp;H$5,'Leave Log'!$D$5:$D$304,"&gt;="&amp;H$5,'Leave Log'!$F$5:$F$304,"&lt;&gt;Rejected",'Leave Log'!$B$5:$B$304,"UL")&gt;0,"UL",IF(COUNTIFS('Leave Log'!$A$5:$A$304,$A14,'Leave Log'!$C$5:$C$304,"&lt;="&amp;H$5,'Leave Log'!$D$5:$D$304,"&gt;="&amp;H$5,'Leave Log'!$F$5:$F$304,"&lt;&gt;Rejected",'Leave Log'!$B$5:$B$304,"OT")&gt;0,"OT",""))))))</f>
        <v/>
      </c>
      <c r="I14" s="12" t="str">
        <f aca="false">IF(OR(I$5="",$A14=""),"",IF(COUNTIFS('Leave Log'!$A$5:$A$304,$A14,'Leave Log'!$C$5:$C$304,"&lt;="&amp;I$5,'Leave Log'!$D$5:$D$304,"&gt;="&amp;I$5,'Leave Log'!$F$5:$F$304,"&lt;&gt;Rejected",'Leave Log'!$B$5:$B$304,"AL")&gt;0,"AL",IF(COUNTIFS('Leave Log'!$A$5:$A$304,$A14,'Leave Log'!$C$5:$C$304,"&lt;="&amp;I$5,'Leave Log'!$D$5:$D$304,"&gt;="&amp;I$5,'Leave Log'!$F$5:$F$304,"&lt;&gt;Rejected",'Leave Log'!$B$5:$B$304,"SL")&gt;0,"SL",IF(COUNTIFS('Leave Log'!$A$5:$A$304,$A14,'Leave Log'!$C$5:$C$304,"&lt;="&amp;I$5,'Leave Log'!$D$5:$D$304,"&gt;="&amp;I$5,'Leave Log'!$F$5:$F$304,"&lt;&gt;Rejected",'Leave Log'!$B$5:$B$304,"CL")&gt;0,"CL",IF(COUNTIFS('Leave Log'!$A$5:$A$304,$A14,'Leave Log'!$C$5:$C$304,"&lt;="&amp;I$5,'Leave Log'!$D$5:$D$304,"&gt;="&amp;I$5,'Leave Log'!$F$5:$F$304,"&lt;&gt;Rejected",'Leave Log'!$B$5:$B$304,"UL")&gt;0,"UL",IF(COUNTIFS('Leave Log'!$A$5:$A$304,$A14,'Leave Log'!$C$5:$C$304,"&lt;="&amp;I$5,'Leave Log'!$D$5:$D$304,"&gt;="&amp;I$5,'Leave Log'!$F$5:$F$304,"&lt;&gt;Rejected",'Leave Log'!$B$5:$B$304,"OT")&gt;0,"OT",""))))))</f>
        <v/>
      </c>
      <c r="J14" s="12" t="str">
        <f aca="false">IF(OR(J$5="",$A14=""),"",IF(COUNTIFS('Leave Log'!$A$5:$A$304,$A14,'Leave Log'!$C$5:$C$304,"&lt;="&amp;J$5,'Leave Log'!$D$5:$D$304,"&gt;="&amp;J$5,'Leave Log'!$F$5:$F$304,"&lt;&gt;Rejected",'Leave Log'!$B$5:$B$304,"AL")&gt;0,"AL",IF(COUNTIFS('Leave Log'!$A$5:$A$304,$A14,'Leave Log'!$C$5:$C$304,"&lt;="&amp;J$5,'Leave Log'!$D$5:$D$304,"&gt;="&amp;J$5,'Leave Log'!$F$5:$F$304,"&lt;&gt;Rejected",'Leave Log'!$B$5:$B$304,"SL")&gt;0,"SL",IF(COUNTIFS('Leave Log'!$A$5:$A$304,$A14,'Leave Log'!$C$5:$C$304,"&lt;="&amp;J$5,'Leave Log'!$D$5:$D$304,"&gt;="&amp;J$5,'Leave Log'!$F$5:$F$304,"&lt;&gt;Rejected",'Leave Log'!$B$5:$B$304,"CL")&gt;0,"CL",IF(COUNTIFS('Leave Log'!$A$5:$A$304,$A14,'Leave Log'!$C$5:$C$304,"&lt;="&amp;J$5,'Leave Log'!$D$5:$D$304,"&gt;="&amp;J$5,'Leave Log'!$F$5:$F$304,"&lt;&gt;Rejected",'Leave Log'!$B$5:$B$304,"UL")&gt;0,"UL",IF(COUNTIFS('Leave Log'!$A$5:$A$304,$A14,'Leave Log'!$C$5:$C$304,"&lt;="&amp;J$5,'Leave Log'!$D$5:$D$304,"&gt;="&amp;J$5,'Leave Log'!$F$5:$F$304,"&lt;&gt;Rejected",'Leave Log'!$B$5:$B$304,"OT")&gt;0,"OT",""))))))</f>
        <v/>
      </c>
      <c r="K14" s="12" t="str">
        <f aca="false">IF(OR(K$5="",$A14=""),"",IF(COUNTIFS('Leave Log'!$A$5:$A$304,$A14,'Leave Log'!$C$5:$C$304,"&lt;="&amp;K$5,'Leave Log'!$D$5:$D$304,"&gt;="&amp;K$5,'Leave Log'!$F$5:$F$304,"&lt;&gt;Rejected",'Leave Log'!$B$5:$B$304,"AL")&gt;0,"AL",IF(COUNTIFS('Leave Log'!$A$5:$A$304,$A14,'Leave Log'!$C$5:$C$304,"&lt;="&amp;K$5,'Leave Log'!$D$5:$D$304,"&gt;="&amp;K$5,'Leave Log'!$F$5:$F$304,"&lt;&gt;Rejected",'Leave Log'!$B$5:$B$304,"SL")&gt;0,"SL",IF(COUNTIFS('Leave Log'!$A$5:$A$304,$A14,'Leave Log'!$C$5:$C$304,"&lt;="&amp;K$5,'Leave Log'!$D$5:$D$304,"&gt;="&amp;K$5,'Leave Log'!$F$5:$F$304,"&lt;&gt;Rejected",'Leave Log'!$B$5:$B$304,"CL")&gt;0,"CL",IF(COUNTIFS('Leave Log'!$A$5:$A$304,$A14,'Leave Log'!$C$5:$C$304,"&lt;="&amp;K$5,'Leave Log'!$D$5:$D$304,"&gt;="&amp;K$5,'Leave Log'!$F$5:$F$304,"&lt;&gt;Rejected",'Leave Log'!$B$5:$B$304,"UL")&gt;0,"UL",IF(COUNTIFS('Leave Log'!$A$5:$A$304,$A14,'Leave Log'!$C$5:$C$304,"&lt;="&amp;K$5,'Leave Log'!$D$5:$D$304,"&gt;="&amp;K$5,'Leave Log'!$F$5:$F$304,"&lt;&gt;Rejected",'Leave Log'!$B$5:$B$304,"OT")&gt;0,"OT",""))))))</f>
        <v/>
      </c>
      <c r="L14" s="12" t="str">
        <f aca="false">IF(OR(L$5="",$A14=""),"",IF(COUNTIFS('Leave Log'!$A$5:$A$304,$A14,'Leave Log'!$C$5:$C$304,"&lt;="&amp;L$5,'Leave Log'!$D$5:$D$304,"&gt;="&amp;L$5,'Leave Log'!$F$5:$F$304,"&lt;&gt;Rejected",'Leave Log'!$B$5:$B$304,"AL")&gt;0,"AL",IF(COUNTIFS('Leave Log'!$A$5:$A$304,$A14,'Leave Log'!$C$5:$C$304,"&lt;="&amp;L$5,'Leave Log'!$D$5:$D$304,"&gt;="&amp;L$5,'Leave Log'!$F$5:$F$304,"&lt;&gt;Rejected",'Leave Log'!$B$5:$B$304,"SL")&gt;0,"SL",IF(COUNTIFS('Leave Log'!$A$5:$A$304,$A14,'Leave Log'!$C$5:$C$304,"&lt;="&amp;L$5,'Leave Log'!$D$5:$D$304,"&gt;="&amp;L$5,'Leave Log'!$F$5:$F$304,"&lt;&gt;Rejected",'Leave Log'!$B$5:$B$304,"CL")&gt;0,"CL",IF(COUNTIFS('Leave Log'!$A$5:$A$304,$A14,'Leave Log'!$C$5:$C$304,"&lt;="&amp;L$5,'Leave Log'!$D$5:$D$304,"&gt;="&amp;L$5,'Leave Log'!$F$5:$F$304,"&lt;&gt;Rejected",'Leave Log'!$B$5:$B$304,"UL")&gt;0,"UL",IF(COUNTIFS('Leave Log'!$A$5:$A$304,$A14,'Leave Log'!$C$5:$C$304,"&lt;="&amp;L$5,'Leave Log'!$D$5:$D$304,"&gt;="&amp;L$5,'Leave Log'!$F$5:$F$304,"&lt;&gt;Rejected",'Leave Log'!$B$5:$B$304,"OT")&gt;0,"OT",""))))))</f>
        <v/>
      </c>
      <c r="M14" s="12" t="str">
        <f aca="false">IF(OR(M$5="",$A14=""),"",IF(COUNTIFS('Leave Log'!$A$5:$A$304,$A14,'Leave Log'!$C$5:$C$304,"&lt;="&amp;M$5,'Leave Log'!$D$5:$D$304,"&gt;="&amp;M$5,'Leave Log'!$F$5:$F$304,"&lt;&gt;Rejected",'Leave Log'!$B$5:$B$304,"AL")&gt;0,"AL",IF(COUNTIFS('Leave Log'!$A$5:$A$304,$A14,'Leave Log'!$C$5:$C$304,"&lt;="&amp;M$5,'Leave Log'!$D$5:$D$304,"&gt;="&amp;M$5,'Leave Log'!$F$5:$F$304,"&lt;&gt;Rejected",'Leave Log'!$B$5:$B$304,"SL")&gt;0,"SL",IF(COUNTIFS('Leave Log'!$A$5:$A$304,$A14,'Leave Log'!$C$5:$C$304,"&lt;="&amp;M$5,'Leave Log'!$D$5:$D$304,"&gt;="&amp;M$5,'Leave Log'!$F$5:$F$304,"&lt;&gt;Rejected",'Leave Log'!$B$5:$B$304,"CL")&gt;0,"CL",IF(COUNTIFS('Leave Log'!$A$5:$A$304,$A14,'Leave Log'!$C$5:$C$304,"&lt;="&amp;M$5,'Leave Log'!$D$5:$D$304,"&gt;="&amp;M$5,'Leave Log'!$F$5:$F$304,"&lt;&gt;Rejected",'Leave Log'!$B$5:$B$304,"UL")&gt;0,"UL",IF(COUNTIFS('Leave Log'!$A$5:$A$304,$A14,'Leave Log'!$C$5:$C$304,"&lt;="&amp;M$5,'Leave Log'!$D$5:$D$304,"&gt;="&amp;M$5,'Leave Log'!$F$5:$F$304,"&lt;&gt;Rejected",'Leave Log'!$B$5:$B$304,"OT")&gt;0,"OT",""))))))</f>
        <v/>
      </c>
      <c r="N14" s="12" t="str">
        <f aca="false">IF(OR(N$5="",$A14=""),"",IF(COUNTIFS('Leave Log'!$A$5:$A$304,$A14,'Leave Log'!$C$5:$C$304,"&lt;="&amp;N$5,'Leave Log'!$D$5:$D$304,"&gt;="&amp;N$5,'Leave Log'!$F$5:$F$304,"&lt;&gt;Rejected",'Leave Log'!$B$5:$B$304,"AL")&gt;0,"AL",IF(COUNTIFS('Leave Log'!$A$5:$A$304,$A14,'Leave Log'!$C$5:$C$304,"&lt;="&amp;N$5,'Leave Log'!$D$5:$D$304,"&gt;="&amp;N$5,'Leave Log'!$F$5:$F$304,"&lt;&gt;Rejected",'Leave Log'!$B$5:$B$304,"SL")&gt;0,"SL",IF(COUNTIFS('Leave Log'!$A$5:$A$304,$A14,'Leave Log'!$C$5:$C$304,"&lt;="&amp;N$5,'Leave Log'!$D$5:$D$304,"&gt;="&amp;N$5,'Leave Log'!$F$5:$F$304,"&lt;&gt;Rejected",'Leave Log'!$B$5:$B$304,"CL")&gt;0,"CL",IF(COUNTIFS('Leave Log'!$A$5:$A$304,$A14,'Leave Log'!$C$5:$C$304,"&lt;="&amp;N$5,'Leave Log'!$D$5:$D$304,"&gt;="&amp;N$5,'Leave Log'!$F$5:$F$304,"&lt;&gt;Rejected",'Leave Log'!$B$5:$B$304,"UL")&gt;0,"UL",IF(COUNTIFS('Leave Log'!$A$5:$A$304,$A14,'Leave Log'!$C$5:$C$304,"&lt;="&amp;N$5,'Leave Log'!$D$5:$D$304,"&gt;="&amp;N$5,'Leave Log'!$F$5:$F$304,"&lt;&gt;Rejected",'Leave Log'!$B$5:$B$304,"OT")&gt;0,"OT",""))))))</f>
        <v/>
      </c>
      <c r="O14" s="12" t="str">
        <f aca="false">IF(OR(O$5="",$A14=""),"",IF(COUNTIFS('Leave Log'!$A$5:$A$304,$A14,'Leave Log'!$C$5:$C$304,"&lt;="&amp;O$5,'Leave Log'!$D$5:$D$304,"&gt;="&amp;O$5,'Leave Log'!$F$5:$F$304,"&lt;&gt;Rejected",'Leave Log'!$B$5:$B$304,"AL")&gt;0,"AL",IF(COUNTIFS('Leave Log'!$A$5:$A$304,$A14,'Leave Log'!$C$5:$C$304,"&lt;="&amp;O$5,'Leave Log'!$D$5:$D$304,"&gt;="&amp;O$5,'Leave Log'!$F$5:$F$304,"&lt;&gt;Rejected",'Leave Log'!$B$5:$B$304,"SL")&gt;0,"SL",IF(COUNTIFS('Leave Log'!$A$5:$A$304,$A14,'Leave Log'!$C$5:$C$304,"&lt;="&amp;O$5,'Leave Log'!$D$5:$D$304,"&gt;="&amp;O$5,'Leave Log'!$F$5:$F$304,"&lt;&gt;Rejected",'Leave Log'!$B$5:$B$304,"CL")&gt;0,"CL",IF(COUNTIFS('Leave Log'!$A$5:$A$304,$A14,'Leave Log'!$C$5:$C$304,"&lt;="&amp;O$5,'Leave Log'!$D$5:$D$304,"&gt;="&amp;O$5,'Leave Log'!$F$5:$F$304,"&lt;&gt;Rejected",'Leave Log'!$B$5:$B$304,"UL")&gt;0,"UL",IF(COUNTIFS('Leave Log'!$A$5:$A$304,$A14,'Leave Log'!$C$5:$C$304,"&lt;="&amp;O$5,'Leave Log'!$D$5:$D$304,"&gt;="&amp;O$5,'Leave Log'!$F$5:$F$304,"&lt;&gt;Rejected",'Leave Log'!$B$5:$B$304,"OT")&gt;0,"OT",""))))))</f>
        <v/>
      </c>
      <c r="P14" s="12" t="str">
        <f aca="false">IF(OR(P$5="",$A14=""),"",IF(COUNTIFS('Leave Log'!$A$5:$A$304,$A14,'Leave Log'!$C$5:$C$304,"&lt;="&amp;P$5,'Leave Log'!$D$5:$D$304,"&gt;="&amp;P$5,'Leave Log'!$F$5:$F$304,"&lt;&gt;Rejected",'Leave Log'!$B$5:$B$304,"AL")&gt;0,"AL",IF(COUNTIFS('Leave Log'!$A$5:$A$304,$A14,'Leave Log'!$C$5:$C$304,"&lt;="&amp;P$5,'Leave Log'!$D$5:$D$304,"&gt;="&amp;P$5,'Leave Log'!$F$5:$F$304,"&lt;&gt;Rejected",'Leave Log'!$B$5:$B$304,"SL")&gt;0,"SL",IF(COUNTIFS('Leave Log'!$A$5:$A$304,$A14,'Leave Log'!$C$5:$C$304,"&lt;="&amp;P$5,'Leave Log'!$D$5:$D$304,"&gt;="&amp;P$5,'Leave Log'!$F$5:$F$304,"&lt;&gt;Rejected",'Leave Log'!$B$5:$B$304,"CL")&gt;0,"CL",IF(COUNTIFS('Leave Log'!$A$5:$A$304,$A14,'Leave Log'!$C$5:$C$304,"&lt;="&amp;P$5,'Leave Log'!$D$5:$D$304,"&gt;="&amp;P$5,'Leave Log'!$F$5:$F$304,"&lt;&gt;Rejected",'Leave Log'!$B$5:$B$304,"UL")&gt;0,"UL",IF(COUNTIFS('Leave Log'!$A$5:$A$304,$A14,'Leave Log'!$C$5:$C$304,"&lt;="&amp;P$5,'Leave Log'!$D$5:$D$304,"&gt;="&amp;P$5,'Leave Log'!$F$5:$F$304,"&lt;&gt;Rejected",'Leave Log'!$B$5:$B$304,"OT")&gt;0,"OT",""))))))</f>
        <v/>
      </c>
      <c r="Q14" s="12" t="str">
        <f aca="false">IF(OR(Q$5="",$A14=""),"",IF(COUNTIFS('Leave Log'!$A$5:$A$304,$A14,'Leave Log'!$C$5:$C$304,"&lt;="&amp;Q$5,'Leave Log'!$D$5:$D$304,"&gt;="&amp;Q$5,'Leave Log'!$F$5:$F$304,"&lt;&gt;Rejected",'Leave Log'!$B$5:$B$304,"AL")&gt;0,"AL",IF(COUNTIFS('Leave Log'!$A$5:$A$304,$A14,'Leave Log'!$C$5:$C$304,"&lt;="&amp;Q$5,'Leave Log'!$D$5:$D$304,"&gt;="&amp;Q$5,'Leave Log'!$F$5:$F$304,"&lt;&gt;Rejected",'Leave Log'!$B$5:$B$304,"SL")&gt;0,"SL",IF(COUNTIFS('Leave Log'!$A$5:$A$304,$A14,'Leave Log'!$C$5:$C$304,"&lt;="&amp;Q$5,'Leave Log'!$D$5:$D$304,"&gt;="&amp;Q$5,'Leave Log'!$F$5:$F$304,"&lt;&gt;Rejected",'Leave Log'!$B$5:$B$304,"CL")&gt;0,"CL",IF(COUNTIFS('Leave Log'!$A$5:$A$304,$A14,'Leave Log'!$C$5:$C$304,"&lt;="&amp;Q$5,'Leave Log'!$D$5:$D$304,"&gt;="&amp;Q$5,'Leave Log'!$F$5:$F$304,"&lt;&gt;Rejected",'Leave Log'!$B$5:$B$304,"UL")&gt;0,"UL",IF(COUNTIFS('Leave Log'!$A$5:$A$304,$A14,'Leave Log'!$C$5:$C$304,"&lt;="&amp;Q$5,'Leave Log'!$D$5:$D$304,"&gt;="&amp;Q$5,'Leave Log'!$F$5:$F$304,"&lt;&gt;Rejected",'Leave Log'!$B$5:$B$304,"OT")&gt;0,"OT",""))))))</f>
        <v/>
      </c>
      <c r="R14" s="12" t="str">
        <f aca="false">IF(OR(R$5="",$A14=""),"",IF(COUNTIFS('Leave Log'!$A$5:$A$304,$A14,'Leave Log'!$C$5:$C$304,"&lt;="&amp;R$5,'Leave Log'!$D$5:$D$304,"&gt;="&amp;R$5,'Leave Log'!$F$5:$F$304,"&lt;&gt;Rejected",'Leave Log'!$B$5:$B$304,"AL")&gt;0,"AL",IF(COUNTIFS('Leave Log'!$A$5:$A$304,$A14,'Leave Log'!$C$5:$C$304,"&lt;="&amp;R$5,'Leave Log'!$D$5:$D$304,"&gt;="&amp;R$5,'Leave Log'!$F$5:$F$304,"&lt;&gt;Rejected",'Leave Log'!$B$5:$B$304,"SL")&gt;0,"SL",IF(COUNTIFS('Leave Log'!$A$5:$A$304,$A14,'Leave Log'!$C$5:$C$304,"&lt;="&amp;R$5,'Leave Log'!$D$5:$D$304,"&gt;="&amp;R$5,'Leave Log'!$F$5:$F$304,"&lt;&gt;Rejected",'Leave Log'!$B$5:$B$304,"CL")&gt;0,"CL",IF(COUNTIFS('Leave Log'!$A$5:$A$304,$A14,'Leave Log'!$C$5:$C$304,"&lt;="&amp;R$5,'Leave Log'!$D$5:$D$304,"&gt;="&amp;R$5,'Leave Log'!$F$5:$F$304,"&lt;&gt;Rejected",'Leave Log'!$B$5:$B$304,"UL")&gt;0,"UL",IF(COUNTIFS('Leave Log'!$A$5:$A$304,$A14,'Leave Log'!$C$5:$C$304,"&lt;="&amp;R$5,'Leave Log'!$D$5:$D$304,"&gt;="&amp;R$5,'Leave Log'!$F$5:$F$304,"&lt;&gt;Rejected",'Leave Log'!$B$5:$B$304,"OT")&gt;0,"OT",""))))))</f>
        <v/>
      </c>
      <c r="S14" s="12" t="str">
        <f aca="false">IF(OR(S$5="",$A14=""),"",IF(COUNTIFS('Leave Log'!$A$5:$A$304,$A14,'Leave Log'!$C$5:$C$304,"&lt;="&amp;S$5,'Leave Log'!$D$5:$D$304,"&gt;="&amp;S$5,'Leave Log'!$F$5:$F$304,"&lt;&gt;Rejected",'Leave Log'!$B$5:$B$304,"AL")&gt;0,"AL",IF(COUNTIFS('Leave Log'!$A$5:$A$304,$A14,'Leave Log'!$C$5:$C$304,"&lt;="&amp;S$5,'Leave Log'!$D$5:$D$304,"&gt;="&amp;S$5,'Leave Log'!$F$5:$F$304,"&lt;&gt;Rejected",'Leave Log'!$B$5:$B$304,"SL")&gt;0,"SL",IF(COUNTIFS('Leave Log'!$A$5:$A$304,$A14,'Leave Log'!$C$5:$C$304,"&lt;="&amp;S$5,'Leave Log'!$D$5:$D$304,"&gt;="&amp;S$5,'Leave Log'!$F$5:$F$304,"&lt;&gt;Rejected",'Leave Log'!$B$5:$B$304,"CL")&gt;0,"CL",IF(COUNTIFS('Leave Log'!$A$5:$A$304,$A14,'Leave Log'!$C$5:$C$304,"&lt;="&amp;S$5,'Leave Log'!$D$5:$D$304,"&gt;="&amp;S$5,'Leave Log'!$F$5:$F$304,"&lt;&gt;Rejected",'Leave Log'!$B$5:$B$304,"UL")&gt;0,"UL",IF(COUNTIFS('Leave Log'!$A$5:$A$304,$A14,'Leave Log'!$C$5:$C$304,"&lt;="&amp;S$5,'Leave Log'!$D$5:$D$304,"&gt;="&amp;S$5,'Leave Log'!$F$5:$F$304,"&lt;&gt;Rejected",'Leave Log'!$B$5:$B$304,"OT")&gt;0,"OT",""))))))</f>
        <v/>
      </c>
      <c r="T14" s="12" t="str">
        <f aca="false">IF(OR(T$5="",$A14=""),"",IF(COUNTIFS('Leave Log'!$A$5:$A$304,$A14,'Leave Log'!$C$5:$C$304,"&lt;="&amp;T$5,'Leave Log'!$D$5:$D$304,"&gt;="&amp;T$5,'Leave Log'!$F$5:$F$304,"&lt;&gt;Rejected",'Leave Log'!$B$5:$B$304,"AL")&gt;0,"AL",IF(COUNTIFS('Leave Log'!$A$5:$A$304,$A14,'Leave Log'!$C$5:$C$304,"&lt;="&amp;T$5,'Leave Log'!$D$5:$D$304,"&gt;="&amp;T$5,'Leave Log'!$F$5:$F$304,"&lt;&gt;Rejected",'Leave Log'!$B$5:$B$304,"SL")&gt;0,"SL",IF(COUNTIFS('Leave Log'!$A$5:$A$304,$A14,'Leave Log'!$C$5:$C$304,"&lt;="&amp;T$5,'Leave Log'!$D$5:$D$304,"&gt;="&amp;T$5,'Leave Log'!$F$5:$F$304,"&lt;&gt;Rejected",'Leave Log'!$B$5:$B$304,"CL")&gt;0,"CL",IF(COUNTIFS('Leave Log'!$A$5:$A$304,$A14,'Leave Log'!$C$5:$C$304,"&lt;="&amp;T$5,'Leave Log'!$D$5:$D$304,"&gt;="&amp;T$5,'Leave Log'!$F$5:$F$304,"&lt;&gt;Rejected",'Leave Log'!$B$5:$B$304,"UL")&gt;0,"UL",IF(COUNTIFS('Leave Log'!$A$5:$A$304,$A14,'Leave Log'!$C$5:$C$304,"&lt;="&amp;T$5,'Leave Log'!$D$5:$D$304,"&gt;="&amp;T$5,'Leave Log'!$F$5:$F$304,"&lt;&gt;Rejected",'Leave Log'!$B$5:$B$304,"OT")&gt;0,"OT",""))))))</f>
        <v/>
      </c>
      <c r="U14" s="12" t="str">
        <f aca="false">IF(OR(U$5="",$A14=""),"",IF(COUNTIFS('Leave Log'!$A$5:$A$304,$A14,'Leave Log'!$C$5:$C$304,"&lt;="&amp;U$5,'Leave Log'!$D$5:$D$304,"&gt;="&amp;U$5,'Leave Log'!$F$5:$F$304,"&lt;&gt;Rejected",'Leave Log'!$B$5:$B$304,"AL")&gt;0,"AL",IF(COUNTIFS('Leave Log'!$A$5:$A$304,$A14,'Leave Log'!$C$5:$C$304,"&lt;="&amp;U$5,'Leave Log'!$D$5:$D$304,"&gt;="&amp;U$5,'Leave Log'!$F$5:$F$304,"&lt;&gt;Rejected",'Leave Log'!$B$5:$B$304,"SL")&gt;0,"SL",IF(COUNTIFS('Leave Log'!$A$5:$A$304,$A14,'Leave Log'!$C$5:$C$304,"&lt;="&amp;U$5,'Leave Log'!$D$5:$D$304,"&gt;="&amp;U$5,'Leave Log'!$F$5:$F$304,"&lt;&gt;Rejected",'Leave Log'!$B$5:$B$304,"CL")&gt;0,"CL",IF(COUNTIFS('Leave Log'!$A$5:$A$304,$A14,'Leave Log'!$C$5:$C$304,"&lt;="&amp;U$5,'Leave Log'!$D$5:$D$304,"&gt;="&amp;U$5,'Leave Log'!$F$5:$F$304,"&lt;&gt;Rejected",'Leave Log'!$B$5:$B$304,"UL")&gt;0,"UL",IF(COUNTIFS('Leave Log'!$A$5:$A$304,$A14,'Leave Log'!$C$5:$C$304,"&lt;="&amp;U$5,'Leave Log'!$D$5:$D$304,"&gt;="&amp;U$5,'Leave Log'!$F$5:$F$304,"&lt;&gt;Rejected",'Leave Log'!$B$5:$B$304,"OT")&gt;0,"OT",""))))))</f>
        <v/>
      </c>
      <c r="V14" s="12" t="str">
        <f aca="false">IF(OR(V$5="",$A14=""),"",IF(COUNTIFS('Leave Log'!$A$5:$A$304,$A14,'Leave Log'!$C$5:$C$304,"&lt;="&amp;V$5,'Leave Log'!$D$5:$D$304,"&gt;="&amp;V$5,'Leave Log'!$F$5:$F$304,"&lt;&gt;Rejected",'Leave Log'!$B$5:$B$304,"AL")&gt;0,"AL",IF(COUNTIFS('Leave Log'!$A$5:$A$304,$A14,'Leave Log'!$C$5:$C$304,"&lt;="&amp;V$5,'Leave Log'!$D$5:$D$304,"&gt;="&amp;V$5,'Leave Log'!$F$5:$F$304,"&lt;&gt;Rejected",'Leave Log'!$B$5:$B$304,"SL")&gt;0,"SL",IF(COUNTIFS('Leave Log'!$A$5:$A$304,$A14,'Leave Log'!$C$5:$C$304,"&lt;="&amp;V$5,'Leave Log'!$D$5:$D$304,"&gt;="&amp;V$5,'Leave Log'!$F$5:$F$304,"&lt;&gt;Rejected",'Leave Log'!$B$5:$B$304,"CL")&gt;0,"CL",IF(COUNTIFS('Leave Log'!$A$5:$A$304,$A14,'Leave Log'!$C$5:$C$304,"&lt;="&amp;V$5,'Leave Log'!$D$5:$D$304,"&gt;="&amp;V$5,'Leave Log'!$F$5:$F$304,"&lt;&gt;Rejected",'Leave Log'!$B$5:$B$304,"UL")&gt;0,"UL",IF(COUNTIFS('Leave Log'!$A$5:$A$304,$A14,'Leave Log'!$C$5:$C$304,"&lt;="&amp;V$5,'Leave Log'!$D$5:$D$304,"&gt;="&amp;V$5,'Leave Log'!$F$5:$F$304,"&lt;&gt;Rejected",'Leave Log'!$B$5:$B$304,"OT")&gt;0,"OT",""))))))</f>
        <v/>
      </c>
      <c r="W14" s="12" t="str">
        <f aca="false">IF(OR(W$5="",$A14=""),"",IF(COUNTIFS('Leave Log'!$A$5:$A$304,$A14,'Leave Log'!$C$5:$C$304,"&lt;="&amp;W$5,'Leave Log'!$D$5:$D$304,"&gt;="&amp;W$5,'Leave Log'!$F$5:$F$304,"&lt;&gt;Rejected",'Leave Log'!$B$5:$B$304,"AL")&gt;0,"AL",IF(COUNTIFS('Leave Log'!$A$5:$A$304,$A14,'Leave Log'!$C$5:$C$304,"&lt;="&amp;W$5,'Leave Log'!$D$5:$D$304,"&gt;="&amp;W$5,'Leave Log'!$F$5:$F$304,"&lt;&gt;Rejected",'Leave Log'!$B$5:$B$304,"SL")&gt;0,"SL",IF(COUNTIFS('Leave Log'!$A$5:$A$304,$A14,'Leave Log'!$C$5:$C$304,"&lt;="&amp;W$5,'Leave Log'!$D$5:$D$304,"&gt;="&amp;W$5,'Leave Log'!$F$5:$F$304,"&lt;&gt;Rejected",'Leave Log'!$B$5:$B$304,"CL")&gt;0,"CL",IF(COUNTIFS('Leave Log'!$A$5:$A$304,$A14,'Leave Log'!$C$5:$C$304,"&lt;="&amp;W$5,'Leave Log'!$D$5:$D$304,"&gt;="&amp;W$5,'Leave Log'!$F$5:$F$304,"&lt;&gt;Rejected",'Leave Log'!$B$5:$B$304,"UL")&gt;0,"UL",IF(COUNTIFS('Leave Log'!$A$5:$A$304,$A14,'Leave Log'!$C$5:$C$304,"&lt;="&amp;W$5,'Leave Log'!$D$5:$D$304,"&gt;="&amp;W$5,'Leave Log'!$F$5:$F$304,"&lt;&gt;Rejected",'Leave Log'!$B$5:$B$304,"OT")&gt;0,"OT",""))))))</f>
        <v/>
      </c>
      <c r="X14" s="12" t="str">
        <f aca="false">IF(OR(X$5="",$A14=""),"",IF(COUNTIFS('Leave Log'!$A$5:$A$304,$A14,'Leave Log'!$C$5:$C$304,"&lt;="&amp;X$5,'Leave Log'!$D$5:$D$304,"&gt;="&amp;X$5,'Leave Log'!$F$5:$F$304,"&lt;&gt;Rejected",'Leave Log'!$B$5:$B$304,"AL")&gt;0,"AL",IF(COUNTIFS('Leave Log'!$A$5:$A$304,$A14,'Leave Log'!$C$5:$C$304,"&lt;="&amp;X$5,'Leave Log'!$D$5:$D$304,"&gt;="&amp;X$5,'Leave Log'!$F$5:$F$304,"&lt;&gt;Rejected",'Leave Log'!$B$5:$B$304,"SL")&gt;0,"SL",IF(COUNTIFS('Leave Log'!$A$5:$A$304,$A14,'Leave Log'!$C$5:$C$304,"&lt;="&amp;X$5,'Leave Log'!$D$5:$D$304,"&gt;="&amp;X$5,'Leave Log'!$F$5:$F$304,"&lt;&gt;Rejected",'Leave Log'!$B$5:$B$304,"CL")&gt;0,"CL",IF(COUNTIFS('Leave Log'!$A$5:$A$304,$A14,'Leave Log'!$C$5:$C$304,"&lt;="&amp;X$5,'Leave Log'!$D$5:$D$304,"&gt;="&amp;X$5,'Leave Log'!$F$5:$F$304,"&lt;&gt;Rejected",'Leave Log'!$B$5:$B$304,"UL")&gt;0,"UL",IF(COUNTIFS('Leave Log'!$A$5:$A$304,$A14,'Leave Log'!$C$5:$C$304,"&lt;="&amp;X$5,'Leave Log'!$D$5:$D$304,"&gt;="&amp;X$5,'Leave Log'!$F$5:$F$304,"&lt;&gt;Rejected",'Leave Log'!$B$5:$B$304,"OT")&gt;0,"OT",""))))))</f>
        <v/>
      </c>
      <c r="Y14" s="12" t="str">
        <f aca="false">IF(OR(Y$5="",$A14=""),"",IF(COUNTIFS('Leave Log'!$A$5:$A$304,$A14,'Leave Log'!$C$5:$C$304,"&lt;="&amp;Y$5,'Leave Log'!$D$5:$D$304,"&gt;="&amp;Y$5,'Leave Log'!$F$5:$F$304,"&lt;&gt;Rejected",'Leave Log'!$B$5:$B$304,"AL")&gt;0,"AL",IF(COUNTIFS('Leave Log'!$A$5:$A$304,$A14,'Leave Log'!$C$5:$C$304,"&lt;="&amp;Y$5,'Leave Log'!$D$5:$D$304,"&gt;="&amp;Y$5,'Leave Log'!$F$5:$F$304,"&lt;&gt;Rejected",'Leave Log'!$B$5:$B$304,"SL")&gt;0,"SL",IF(COUNTIFS('Leave Log'!$A$5:$A$304,$A14,'Leave Log'!$C$5:$C$304,"&lt;="&amp;Y$5,'Leave Log'!$D$5:$D$304,"&gt;="&amp;Y$5,'Leave Log'!$F$5:$F$304,"&lt;&gt;Rejected",'Leave Log'!$B$5:$B$304,"CL")&gt;0,"CL",IF(COUNTIFS('Leave Log'!$A$5:$A$304,$A14,'Leave Log'!$C$5:$C$304,"&lt;="&amp;Y$5,'Leave Log'!$D$5:$D$304,"&gt;="&amp;Y$5,'Leave Log'!$F$5:$F$304,"&lt;&gt;Rejected",'Leave Log'!$B$5:$B$304,"UL")&gt;0,"UL",IF(COUNTIFS('Leave Log'!$A$5:$A$304,$A14,'Leave Log'!$C$5:$C$304,"&lt;="&amp;Y$5,'Leave Log'!$D$5:$D$304,"&gt;="&amp;Y$5,'Leave Log'!$F$5:$F$304,"&lt;&gt;Rejected",'Leave Log'!$B$5:$B$304,"OT")&gt;0,"OT",""))))))</f>
        <v/>
      </c>
      <c r="Z14" s="12" t="str">
        <f aca="false">IF(OR(Z$5="",$A14=""),"",IF(COUNTIFS('Leave Log'!$A$5:$A$304,$A14,'Leave Log'!$C$5:$C$304,"&lt;="&amp;Z$5,'Leave Log'!$D$5:$D$304,"&gt;="&amp;Z$5,'Leave Log'!$F$5:$F$304,"&lt;&gt;Rejected",'Leave Log'!$B$5:$B$304,"AL")&gt;0,"AL",IF(COUNTIFS('Leave Log'!$A$5:$A$304,$A14,'Leave Log'!$C$5:$C$304,"&lt;="&amp;Z$5,'Leave Log'!$D$5:$D$304,"&gt;="&amp;Z$5,'Leave Log'!$F$5:$F$304,"&lt;&gt;Rejected",'Leave Log'!$B$5:$B$304,"SL")&gt;0,"SL",IF(COUNTIFS('Leave Log'!$A$5:$A$304,$A14,'Leave Log'!$C$5:$C$304,"&lt;="&amp;Z$5,'Leave Log'!$D$5:$D$304,"&gt;="&amp;Z$5,'Leave Log'!$F$5:$F$304,"&lt;&gt;Rejected",'Leave Log'!$B$5:$B$304,"CL")&gt;0,"CL",IF(COUNTIFS('Leave Log'!$A$5:$A$304,$A14,'Leave Log'!$C$5:$C$304,"&lt;="&amp;Z$5,'Leave Log'!$D$5:$D$304,"&gt;="&amp;Z$5,'Leave Log'!$F$5:$F$304,"&lt;&gt;Rejected",'Leave Log'!$B$5:$B$304,"UL")&gt;0,"UL",IF(COUNTIFS('Leave Log'!$A$5:$A$304,$A14,'Leave Log'!$C$5:$C$304,"&lt;="&amp;Z$5,'Leave Log'!$D$5:$D$304,"&gt;="&amp;Z$5,'Leave Log'!$F$5:$F$304,"&lt;&gt;Rejected",'Leave Log'!$B$5:$B$304,"OT")&gt;0,"OT",""))))))</f>
        <v/>
      </c>
      <c r="AA14" s="12" t="str">
        <f aca="false">IF(OR(AA$5="",$A14=""),"",IF(COUNTIFS('Leave Log'!$A$5:$A$304,$A14,'Leave Log'!$C$5:$C$304,"&lt;="&amp;AA$5,'Leave Log'!$D$5:$D$304,"&gt;="&amp;AA$5,'Leave Log'!$F$5:$F$304,"&lt;&gt;Rejected",'Leave Log'!$B$5:$B$304,"AL")&gt;0,"AL",IF(COUNTIFS('Leave Log'!$A$5:$A$304,$A14,'Leave Log'!$C$5:$C$304,"&lt;="&amp;AA$5,'Leave Log'!$D$5:$D$304,"&gt;="&amp;AA$5,'Leave Log'!$F$5:$F$304,"&lt;&gt;Rejected",'Leave Log'!$B$5:$B$304,"SL")&gt;0,"SL",IF(COUNTIFS('Leave Log'!$A$5:$A$304,$A14,'Leave Log'!$C$5:$C$304,"&lt;="&amp;AA$5,'Leave Log'!$D$5:$D$304,"&gt;="&amp;AA$5,'Leave Log'!$F$5:$F$304,"&lt;&gt;Rejected",'Leave Log'!$B$5:$B$304,"CL")&gt;0,"CL",IF(COUNTIFS('Leave Log'!$A$5:$A$304,$A14,'Leave Log'!$C$5:$C$304,"&lt;="&amp;AA$5,'Leave Log'!$D$5:$D$304,"&gt;="&amp;AA$5,'Leave Log'!$F$5:$F$304,"&lt;&gt;Rejected",'Leave Log'!$B$5:$B$304,"UL")&gt;0,"UL",IF(COUNTIFS('Leave Log'!$A$5:$A$304,$A14,'Leave Log'!$C$5:$C$304,"&lt;="&amp;AA$5,'Leave Log'!$D$5:$D$304,"&gt;="&amp;AA$5,'Leave Log'!$F$5:$F$304,"&lt;&gt;Rejected",'Leave Log'!$B$5:$B$304,"OT")&gt;0,"OT",""))))))</f>
        <v/>
      </c>
      <c r="AB14" s="12" t="str">
        <f aca="false">IF(OR(AB$5="",$A14=""),"",IF(COUNTIFS('Leave Log'!$A$5:$A$304,$A14,'Leave Log'!$C$5:$C$304,"&lt;="&amp;AB$5,'Leave Log'!$D$5:$D$304,"&gt;="&amp;AB$5,'Leave Log'!$F$5:$F$304,"&lt;&gt;Rejected",'Leave Log'!$B$5:$B$304,"AL")&gt;0,"AL",IF(COUNTIFS('Leave Log'!$A$5:$A$304,$A14,'Leave Log'!$C$5:$C$304,"&lt;="&amp;AB$5,'Leave Log'!$D$5:$D$304,"&gt;="&amp;AB$5,'Leave Log'!$F$5:$F$304,"&lt;&gt;Rejected",'Leave Log'!$B$5:$B$304,"SL")&gt;0,"SL",IF(COUNTIFS('Leave Log'!$A$5:$A$304,$A14,'Leave Log'!$C$5:$C$304,"&lt;="&amp;AB$5,'Leave Log'!$D$5:$D$304,"&gt;="&amp;AB$5,'Leave Log'!$F$5:$F$304,"&lt;&gt;Rejected",'Leave Log'!$B$5:$B$304,"CL")&gt;0,"CL",IF(COUNTIFS('Leave Log'!$A$5:$A$304,$A14,'Leave Log'!$C$5:$C$304,"&lt;="&amp;AB$5,'Leave Log'!$D$5:$D$304,"&gt;="&amp;AB$5,'Leave Log'!$F$5:$F$304,"&lt;&gt;Rejected",'Leave Log'!$B$5:$B$304,"UL")&gt;0,"UL",IF(COUNTIFS('Leave Log'!$A$5:$A$304,$A14,'Leave Log'!$C$5:$C$304,"&lt;="&amp;AB$5,'Leave Log'!$D$5:$D$304,"&gt;="&amp;AB$5,'Leave Log'!$F$5:$F$304,"&lt;&gt;Rejected",'Leave Log'!$B$5:$B$304,"OT")&gt;0,"OT",""))))))</f>
        <v/>
      </c>
      <c r="AC14" s="12" t="str">
        <f aca="false">IF(OR(AC$5="",$A14=""),"",IF(COUNTIFS('Leave Log'!$A$5:$A$304,$A14,'Leave Log'!$C$5:$C$304,"&lt;="&amp;AC$5,'Leave Log'!$D$5:$D$304,"&gt;="&amp;AC$5,'Leave Log'!$F$5:$F$304,"&lt;&gt;Rejected",'Leave Log'!$B$5:$B$304,"AL")&gt;0,"AL",IF(COUNTIFS('Leave Log'!$A$5:$A$304,$A14,'Leave Log'!$C$5:$C$304,"&lt;="&amp;AC$5,'Leave Log'!$D$5:$D$304,"&gt;="&amp;AC$5,'Leave Log'!$F$5:$F$304,"&lt;&gt;Rejected",'Leave Log'!$B$5:$B$304,"SL")&gt;0,"SL",IF(COUNTIFS('Leave Log'!$A$5:$A$304,$A14,'Leave Log'!$C$5:$C$304,"&lt;="&amp;AC$5,'Leave Log'!$D$5:$D$304,"&gt;="&amp;AC$5,'Leave Log'!$F$5:$F$304,"&lt;&gt;Rejected",'Leave Log'!$B$5:$B$304,"CL")&gt;0,"CL",IF(COUNTIFS('Leave Log'!$A$5:$A$304,$A14,'Leave Log'!$C$5:$C$304,"&lt;="&amp;AC$5,'Leave Log'!$D$5:$D$304,"&gt;="&amp;AC$5,'Leave Log'!$F$5:$F$304,"&lt;&gt;Rejected",'Leave Log'!$B$5:$B$304,"UL")&gt;0,"UL",IF(COUNTIFS('Leave Log'!$A$5:$A$304,$A14,'Leave Log'!$C$5:$C$304,"&lt;="&amp;AC$5,'Leave Log'!$D$5:$D$304,"&gt;="&amp;AC$5,'Leave Log'!$F$5:$F$304,"&lt;&gt;Rejected",'Leave Log'!$B$5:$B$304,"OT")&gt;0,"OT",""))))))</f>
        <v/>
      </c>
      <c r="AD14" s="12" t="str">
        <f aca="false">IF(OR(AD$5="",$A14=""),"",IF(COUNTIFS('Leave Log'!$A$5:$A$304,$A14,'Leave Log'!$C$5:$C$304,"&lt;="&amp;AD$5,'Leave Log'!$D$5:$D$304,"&gt;="&amp;AD$5,'Leave Log'!$F$5:$F$304,"&lt;&gt;Rejected",'Leave Log'!$B$5:$B$304,"AL")&gt;0,"AL",IF(COUNTIFS('Leave Log'!$A$5:$A$304,$A14,'Leave Log'!$C$5:$C$304,"&lt;="&amp;AD$5,'Leave Log'!$D$5:$D$304,"&gt;="&amp;AD$5,'Leave Log'!$F$5:$F$304,"&lt;&gt;Rejected",'Leave Log'!$B$5:$B$304,"SL")&gt;0,"SL",IF(COUNTIFS('Leave Log'!$A$5:$A$304,$A14,'Leave Log'!$C$5:$C$304,"&lt;="&amp;AD$5,'Leave Log'!$D$5:$D$304,"&gt;="&amp;AD$5,'Leave Log'!$F$5:$F$304,"&lt;&gt;Rejected",'Leave Log'!$B$5:$B$304,"CL")&gt;0,"CL",IF(COUNTIFS('Leave Log'!$A$5:$A$304,$A14,'Leave Log'!$C$5:$C$304,"&lt;="&amp;AD$5,'Leave Log'!$D$5:$D$304,"&gt;="&amp;AD$5,'Leave Log'!$F$5:$F$304,"&lt;&gt;Rejected",'Leave Log'!$B$5:$B$304,"UL")&gt;0,"UL",IF(COUNTIFS('Leave Log'!$A$5:$A$304,$A14,'Leave Log'!$C$5:$C$304,"&lt;="&amp;AD$5,'Leave Log'!$D$5:$D$304,"&gt;="&amp;AD$5,'Leave Log'!$F$5:$F$304,"&lt;&gt;Rejected",'Leave Log'!$B$5:$B$304,"OT")&gt;0,"OT",""))))))</f>
        <v/>
      </c>
      <c r="AE14" s="12" t="str">
        <f aca="false">IF(OR(AE$5="",$A14=""),"",IF(COUNTIFS('Leave Log'!$A$5:$A$304,$A14,'Leave Log'!$C$5:$C$304,"&lt;="&amp;AE$5,'Leave Log'!$D$5:$D$304,"&gt;="&amp;AE$5,'Leave Log'!$F$5:$F$304,"&lt;&gt;Rejected",'Leave Log'!$B$5:$B$304,"AL")&gt;0,"AL",IF(COUNTIFS('Leave Log'!$A$5:$A$304,$A14,'Leave Log'!$C$5:$C$304,"&lt;="&amp;AE$5,'Leave Log'!$D$5:$D$304,"&gt;="&amp;AE$5,'Leave Log'!$F$5:$F$304,"&lt;&gt;Rejected",'Leave Log'!$B$5:$B$304,"SL")&gt;0,"SL",IF(COUNTIFS('Leave Log'!$A$5:$A$304,$A14,'Leave Log'!$C$5:$C$304,"&lt;="&amp;AE$5,'Leave Log'!$D$5:$D$304,"&gt;="&amp;AE$5,'Leave Log'!$F$5:$F$304,"&lt;&gt;Rejected",'Leave Log'!$B$5:$B$304,"CL")&gt;0,"CL",IF(COUNTIFS('Leave Log'!$A$5:$A$304,$A14,'Leave Log'!$C$5:$C$304,"&lt;="&amp;AE$5,'Leave Log'!$D$5:$D$304,"&gt;="&amp;AE$5,'Leave Log'!$F$5:$F$304,"&lt;&gt;Rejected",'Leave Log'!$B$5:$B$304,"UL")&gt;0,"UL",IF(COUNTIFS('Leave Log'!$A$5:$A$304,$A14,'Leave Log'!$C$5:$C$304,"&lt;="&amp;AE$5,'Leave Log'!$D$5:$D$304,"&gt;="&amp;AE$5,'Leave Log'!$F$5:$F$304,"&lt;&gt;Rejected",'Leave Log'!$B$5:$B$304,"OT")&gt;0,"OT",""))))))</f>
        <v/>
      </c>
      <c r="AF14" s="12" t="str">
        <f aca="false">IF(OR(AF$5="",$A14=""),"",IF(COUNTIFS('Leave Log'!$A$5:$A$304,$A14,'Leave Log'!$C$5:$C$304,"&lt;="&amp;AF$5,'Leave Log'!$D$5:$D$304,"&gt;="&amp;AF$5,'Leave Log'!$F$5:$F$304,"&lt;&gt;Rejected",'Leave Log'!$B$5:$B$304,"AL")&gt;0,"AL",IF(COUNTIFS('Leave Log'!$A$5:$A$304,$A14,'Leave Log'!$C$5:$C$304,"&lt;="&amp;AF$5,'Leave Log'!$D$5:$D$304,"&gt;="&amp;AF$5,'Leave Log'!$F$5:$F$304,"&lt;&gt;Rejected",'Leave Log'!$B$5:$B$304,"SL")&gt;0,"SL",IF(COUNTIFS('Leave Log'!$A$5:$A$304,$A14,'Leave Log'!$C$5:$C$304,"&lt;="&amp;AF$5,'Leave Log'!$D$5:$D$304,"&gt;="&amp;AF$5,'Leave Log'!$F$5:$F$304,"&lt;&gt;Rejected",'Leave Log'!$B$5:$B$304,"CL")&gt;0,"CL",IF(COUNTIFS('Leave Log'!$A$5:$A$304,$A14,'Leave Log'!$C$5:$C$304,"&lt;="&amp;AF$5,'Leave Log'!$D$5:$D$304,"&gt;="&amp;AF$5,'Leave Log'!$F$5:$F$304,"&lt;&gt;Rejected",'Leave Log'!$B$5:$B$304,"UL")&gt;0,"UL",IF(COUNTIFS('Leave Log'!$A$5:$A$304,$A14,'Leave Log'!$C$5:$C$304,"&lt;="&amp;AF$5,'Leave Log'!$D$5:$D$304,"&gt;="&amp;AF$5,'Leave Log'!$F$5:$F$304,"&lt;&gt;Rejected",'Leave Log'!$B$5:$B$304,"OT")&gt;0,"OT",""))))))</f>
        <v/>
      </c>
      <c r="AG14" s="12" t="str">
        <f aca="false">IF(OR(AG$5="",$A14=""),"",IF(COUNTIFS('Leave Log'!$A$5:$A$304,$A14,'Leave Log'!$C$5:$C$304,"&lt;="&amp;AG$5,'Leave Log'!$D$5:$D$304,"&gt;="&amp;AG$5,'Leave Log'!$F$5:$F$304,"&lt;&gt;Rejected",'Leave Log'!$B$5:$B$304,"AL")&gt;0,"AL",IF(COUNTIFS('Leave Log'!$A$5:$A$304,$A14,'Leave Log'!$C$5:$C$304,"&lt;="&amp;AG$5,'Leave Log'!$D$5:$D$304,"&gt;="&amp;AG$5,'Leave Log'!$F$5:$F$304,"&lt;&gt;Rejected",'Leave Log'!$B$5:$B$304,"SL")&gt;0,"SL",IF(COUNTIFS('Leave Log'!$A$5:$A$304,$A14,'Leave Log'!$C$5:$C$304,"&lt;="&amp;AG$5,'Leave Log'!$D$5:$D$304,"&gt;="&amp;AG$5,'Leave Log'!$F$5:$F$304,"&lt;&gt;Rejected",'Leave Log'!$B$5:$B$304,"CL")&gt;0,"CL",IF(COUNTIFS('Leave Log'!$A$5:$A$304,$A14,'Leave Log'!$C$5:$C$304,"&lt;="&amp;AG$5,'Leave Log'!$D$5:$D$304,"&gt;="&amp;AG$5,'Leave Log'!$F$5:$F$304,"&lt;&gt;Rejected",'Leave Log'!$B$5:$B$304,"UL")&gt;0,"UL",IF(COUNTIFS('Leave Log'!$A$5:$A$304,$A14,'Leave Log'!$C$5:$C$304,"&lt;="&amp;AG$5,'Leave Log'!$D$5:$D$304,"&gt;="&amp;AG$5,'Leave Log'!$F$5:$F$304,"&lt;&gt;Rejected",'Leave Log'!$B$5:$B$304,"OT")&gt;0,"OT",""))))))</f>
        <v/>
      </c>
    </row>
    <row r="15" customFormat="false" ht="15" hidden="false" customHeight="false" outlineLevel="0" collapsed="false">
      <c r="A15" s="3" t="str">
        <f aca="false">IF(Employees!B14="","",Employees!B14)</f>
        <v/>
      </c>
      <c r="B15" s="11" t="str">
        <f aca="false">IF(Employees!B14="","",Employees!C14)</f>
        <v/>
      </c>
      <c r="C15" s="12" t="str">
        <f aca="false">IF(OR(C$5="",$A15=""),"",IF(COUNTIFS('Leave Log'!$A$5:$A$304,$A15,'Leave Log'!$C$5:$C$304,"&lt;="&amp;C$5,'Leave Log'!$D$5:$D$304,"&gt;="&amp;C$5,'Leave Log'!$F$5:$F$304,"&lt;&gt;Rejected",'Leave Log'!$B$5:$B$304,"AL")&gt;0,"AL",IF(COUNTIFS('Leave Log'!$A$5:$A$304,$A15,'Leave Log'!$C$5:$C$304,"&lt;="&amp;C$5,'Leave Log'!$D$5:$D$304,"&gt;="&amp;C$5,'Leave Log'!$F$5:$F$304,"&lt;&gt;Rejected",'Leave Log'!$B$5:$B$304,"SL")&gt;0,"SL",IF(COUNTIFS('Leave Log'!$A$5:$A$304,$A15,'Leave Log'!$C$5:$C$304,"&lt;="&amp;C$5,'Leave Log'!$D$5:$D$304,"&gt;="&amp;C$5,'Leave Log'!$F$5:$F$304,"&lt;&gt;Rejected",'Leave Log'!$B$5:$B$304,"CL")&gt;0,"CL",IF(COUNTIFS('Leave Log'!$A$5:$A$304,$A15,'Leave Log'!$C$5:$C$304,"&lt;="&amp;C$5,'Leave Log'!$D$5:$D$304,"&gt;="&amp;C$5,'Leave Log'!$F$5:$F$304,"&lt;&gt;Rejected",'Leave Log'!$B$5:$B$304,"UL")&gt;0,"UL",IF(COUNTIFS('Leave Log'!$A$5:$A$304,$A15,'Leave Log'!$C$5:$C$304,"&lt;="&amp;C$5,'Leave Log'!$D$5:$D$304,"&gt;="&amp;C$5,'Leave Log'!$F$5:$F$304,"&lt;&gt;Rejected",'Leave Log'!$B$5:$B$304,"OT")&gt;0,"OT",""))))))</f>
        <v/>
      </c>
      <c r="D15" s="12" t="str">
        <f aca="false">IF(OR(D$5="",$A15=""),"",IF(COUNTIFS('Leave Log'!$A$5:$A$304,$A15,'Leave Log'!$C$5:$C$304,"&lt;="&amp;D$5,'Leave Log'!$D$5:$D$304,"&gt;="&amp;D$5,'Leave Log'!$F$5:$F$304,"&lt;&gt;Rejected",'Leave Log'!$B$5:$B$304,"AL")&gt;0,"AL",IF(COUNTIFS('Leave Log'!$A$5:$A$304,$A15,'Leave Log'!$C$5:$C$304,"&lt;="&amp;D$5,'Leave Log'!$D$5:$D$304,"&gt;="&amp;D$5,'Leave Log'!$F$5:$F$304,"&lt;&gt;Rejected",'Leave Log'!$B$5:$B$304,"SL")&gt;0,"SL",IF(COUNTIFS('Leave Log'!$A$5:$A$304,$A15,'Leave Log'!$C$5:$C$304,"&lt;="&amp;D$5,'Leave Log'!$D$5:$D$304,"&gt;="&amp;D$5,'Leave Log'!$F$5:$F$304,"&lt;&gt;Rejected",'Leave Log'!$B$5:$B$304,"CL")&gt;0,"CL",IF(COUNTIFS('Leave Log'!$A$5:$A$304,$A15,'Leave Log'!$C$5:$C$304,"&lt;="&amp;D$5,'Leave Log'!$D$5:$D$304,"&gt;="&amp;D$5,'Leave Log'!$F$5:$F$304,"&lt;&gt;Rejected",'Leave Log'!$B$5:$B$304,"UL")&gt;0,"UL",IF(COUNTIFS('Leave Log'!$A$5:$A$304,$A15,'Leave Log'!$C$5:$C$304,"&lt;="&amp;D$5,'Leave Log'!$D$5:$D$304,"&gt;="&amp;D$5,'Leave Log'!$F$5:$F$304,"&lt;&gt;Rejected",'Leave Log'!$B$5:$B$304,"OT")&gt;0,"OT",""))))))</f>
        <v/>
      </c>
      <c r="E15" s="12" t="str">
        <f aca="false">IF(OR(E$5="",$A15=""),"",IF(COUNTIFS('Leave Log'!$A$5:$A$304,$A15,'Leave Log'!$C$5:$C$304,"&lt;="&amp;E$5,'Leave Log'!$D$5:$D$304,"&gt;="&amp;E$5,'Leave Log'!$F$5:$F$304,"&lt;&gt;Rejected",'Leave Log'!$B$5:$B$304,"AL")&gt;0,"AL",IF(COUNTIFS('Leave Log'!$A$5:$A$304,$A15,'Leave Log'!$C$5:$C$304,"&lt;="&amp;E$5,'Leave Log'!$D$5:$D$304,"&gt;="&amp;E$5,'Leave Log'!$F$5:$F$304,"&lt;&gt;Rejected",'Leave Log'!$B$5:$B$304,"SL")&gt;0,"SL",IF(COUNTIFS('Leave Log'!$A$5:$A$304,$A15,'Leave Log'!$C$5:$C$304,"&lt;="&amp;E$5,'Leave Log'!$D$5:$D$304,"&gt;="&amp;E$5,'Leave Log'!$F$5:$F$304,"&lt;&gt;Rejected",'Leave Log'!$B$5:$B$304,"CL")&gt;0,"CL",IF(COUNTIFS('Leave Log'!$A$5:$A$304,$A15,'Leave Log'!$C$5:$C$304,"&lt;="&amp;E$5,'Leave Log'!$D$5:$D$304,"&gt;="&amp;E$5,'Leave Log'!$F$5:$F$304,"&lt;&gt;Rejected",'Leave Log'!$B$5:$B$304,"UL")&gt;0,"UL",IF(COUNTIFS('Leave Log'!$A$5:$A$304,$A15,'Leave Log'!$C$5:$C$304,"&lt;="&amp;E$5,'Leave Log'!$D$5:$D$304,"&gt;="&amp;E$5,'Leave Log'!$F$5:$F$304,"&lt;&gt;Rejected",'Leave Log'!$B$5:$B$304,"OT")&gt;0,"OT",""))))))</f>
        <v/>
      </c>
      <c r="F15" s="12" t="str">
        <f aca="false">IF(OR(F$5="",$A15=""),"",IF(COUNTIFS('Leave Log'!$A$5:$A$304,$A15,'Leave Log'!$C$5:$C$304,"&lt;="&amp;F$5,'Leave Log'!$D$5:$D$304,"&gt;="&amp;F$5,'Leave Log'!$F$5:$F$304,"&lt;&gt;Rejected",'Leave Log'!$B$5:$B$304,"AL")&gt;0,"AL",IF(COUNTIFS('Leave Log'!$A$5:$A$304,$A15,'Leave Log'!$C$5:$C$304,"&lt;="&amp;F$5,'Leave Log'!$D$5:$D$304,"&gt;="&amp;F$5,'Leave Log'!$F$5:$F$304,"&lt;&gt;Rejected",'Leave Log'!$B$5:$B$304,"SL")&gt;0,"SL",IF(COUNTIFS('Leave Log'!$A$5:$A$304,$A15,'Leave Log'!$C$5:$C$304,"&lt;="&amp;F$5,'Leave Log'!$D$5:$D$304,"&gt;="&amp;F$5,'Leave Log'!$F$5:$F$304,"&lt;&gt;Rejected",'Leave Log'!$B$5:$B$304,"CL")&gt;0,"CL",IF(COUNTIFS('Leave Log'!$A$5:$A$304,$A15,'Leave Log'!$C$5:$C$304,"&lt;="&amp;F$5,'Leave Log'!$D$5:$D$304,"&gt;="&amp;F$5,'Leave Log'!$F$5:$F$304,"&lt;&gt;Rejected",'Leave Log'!$B$5:$B$304,"UL")&gt;0,"UL",IF(COUNTIFS('Leave Log'!$A$5:$A$304,$A15,'Leave Log'!$C$5:$C$304,"&lt;="&amp;F$5,'Leave Log'!$D$5:$D$304,"&gt;="&amp;F$5,'Leave Log'!$F$5:$F$304,"&lt;&gt;Rejected",'Leave Log'!$B$5:$B$304,"OT")&gt;0,"OT",""))))))</f>
        <v/>
      </c>
      <c r="G15" s="12" t="str">
        <f aca="false">IF(OR(G$5="",$A15=""),"",IF(COUNTIFS('Leave Log'!$A$5:$A$304,$A15,'Leave Log'!$C$5:$C$304,"&lt;="&amp;G$5,'Leave Log'!$D$5:$D$304,"&gt;="&amp;G$5,'Leave Log'!$F$5:$F$304,"&lt;&gt;Rejected",'Leave Log'!$B$5:$B$304,"AL")&gt;0,"AL",IF(COUNTIFS('Leave Log'!$A$5:$A$304,$A15,'Leave Log'!$C$5:$C$304,"&lt;="&amp;G$5,'Leave Log'!$D$5:$D$304,"&gt;="&amp;G$5,'Leave Log'!$F$5:$F$304,"&lt;&gt;Rejected",'Leave Log'!$B$5:$B$304,"SL")&gt;0,"SL",IF(COUNTIFS('Leave Log'!$A$5:$A$304,$A15,'Leave Log'!$C$5:$C$304,"&lt;="&amp;G$5,'Leave Log'!$D$5:$D$304,"&gt;="&amp;G$5,'Leave Log'!$F$5:$F$304,"&lt;&gt;Rejected",'Leave Log'!$B$5:$B$304,"CL")&gt;0,"CL",IF(COUNTIFS('Leave Log'!$A$5:$A$304,$A15,'Leave Log'!$C$5:$C$304,"&lt;="&amp;G$5,'Leave Log'!$D$5:$D$304,"&gt;="&amp;G$5,'Leave Log'!$F$5:$F$304,"&lt;&gt;Rejected",'Leave Log'!$B$5:$B$304,"UL")&gt;0,"UL",IF(COUNTIFS('Leave Log'!$A$5:$A$304,$A15,'Leave Log'!$C$5:$C$304,"&lt;="&amp;G$5,'Leave Log'!$D$5:$D$304,"&gt;="&amp;G$5,'Leave Log'!$F$5:$F$304,"&lt;&gt;Rejected",'Leave Log'!$B$5:$B$304,"OT")&gt;0,"OT",""))))))</f>
        <v/>
      </c>
      <c r="H15" s="12" t="str">
        <f aca="false">IF(OR(H$5="",$A15=""),"",IF(COUNTIFS('Leave Log'!$A$5:$A$304,$A15,'Leave Log'!$C$5:$C$304,"&lt;="&amp;H$5,'Leave Log'!$D$5:$D$304,"&gt;="&amp;H$5,'Leave Log'!$F$5:$F$304,"&lt;&gt;Rejected",'Leave Log'!$B$5:$B$304,"AL")&gt;0,"AL",IF(COUNTIFS('Leave Log'!$A$5:$A$304,$A15,'Leave Log'!$C$5:$C$304,"&lt;="&amp;H$5,'Leave Log'!$D$5:$D$304,"&gt;="&amp;H$5,'Leave Log'!$F$5:$F$304,"&lt;&gt;Rejected",'Leave Log'!$B$5:$B$304,"SL")&gt;0,"SL",IF(COUNTIFS('Leave Log'!$A$5:$A$304,$A15,'Leave Log'!$C$5:$C$304,"&lt;="&amp;H$5,'Leave Log'!$D$5:$D$304,"&gt;="&amp;H$5,'Leave Log'!$F$5:$F$304,"&lt;&gt;Rejected",'Leave Log'!$B$5:$B$304,"CL")&gt;0,"CL",IF(COUNTIFS('Leave Log'!$A$5:$A$304,$A15,'Leave Log'!$C$5:$C$304,"&lt;="&amp;H$5,'Leave Log'!$D$5:$D$304,"&gt;="&amp;H$5,'Leave Log'!$F$5:$F$304,"&lt;&gt;Rejected",'Leave Log'!$B$5:$B$304,"UL")&gt;0,"UL",IF(COUNTIFS('Leave Log'!$A$5:$A$304,$A15,'Leave Log'!$C$5:$C$304,"&lt;="&amp;H$5,'Leave Log'!$D$5:$D$304,"&gt;="&amp;H$5,'Leave Log'!$F$5:$F$304,"&lt;&gt;Rejected",'Leave Log'!$B$5:$B$304,"OT")&gt;0,"OT",""))))))</f>
        <v/>
      </c>
      <c r="I15" s="12" t="str">
        <f aca="false">IF(OR(I$5="",$A15=""),"",IF(COUNTIFS('Leave Log'!$A$5:$A$304,$A15,'Leave Log'!$C$5:$C$304,"&lt;="&amp;I$5,'Leave Log'!$D$5:$D$304,"&gt;="&amp;I$5,'Leave Log'!$F$5:$F$304,"&lt;&gt;Rejected",'Leave Log'!$B$5:$B$304,"AL")&gt;0,"AL",IF(COUNTIFS('Leave Log'!$A$5:$A$304,$A15,'Leave Log'!$C$5:$C$304,"&lt;="&amp;I$5,'Leave Log'!$D$5:$D$304,"&gt;="&amp;I$5,'Leave Log'!$F$5:$F$304,"&lt;&gt;Rejected",'Leave Log'!$B$5:$B$304,"SL")&gt;0,"SL",IF(COUNTIFS('Leave Log'!$A$5:$A$304,$A15,'Leave Log'!$C$5:$C$304,"&lt;="&amp;I$5,'Leave Log'!$D$5:$D$304,"&gt;="&amp;I$5,'Leave Log'!$F$5:$F$304,"&lt;&gt;Rejected",'Leave Log'!$B$5:$B$304,"CL")&gt;0,"CL",IF(COUNTIFS('Leave Log'!$A$5:$A$304,$A15,'Leave Log'!$C$5:$C$304,"&lt;="&amp;I$5,'Leave Log'!$D$5:$D$304,"&gt;="&amp;I$5,'Leave Log'!$F$5:$F$304,"&lt;&gt;Rejected",'Leave Log'!$B$5:$B$304,"UL")&gt;0,"UL",IF(COUNTIFS('Leave Log'!$A$5:$A$304,$A15,'Leave Log'!$C$5:$C$304,"&lt;="&amp;I$5,'Leave Log'!$D$5:$D$304,"&gt;="&amp;I$5,'Leave Log'!$F$5:$F$304,"&lt;&gt;Rejected",'Leave Log'!$B$5:$B$304,"OT")&gt;0,"OT",""))))))</f>
        <v/>
      </c>
      <c r="J15" s="12" t="str">
        <f aca="false">IF(OR(J$5="",$A15=""),"",IF(COUNTIFS('Leave Log'!$A$5:$A$304,$A15,'Leave Log'!$C$5:$C$304,"&lt;="&amp;J$5,'Leave Log'!$D$5:$D$304,"&gt;="&amp;J$5,'Leave Log'!$F$5:$F$304,"&lt;&gt;Rejected",'Leave Log'!$B$5:$B$304,"AL")&gt;0,"AL",IF(COUNTIFS('Leave Log'!$A$5:$A$304,$A15,'Leave Log'!$C$5:$C$304,"&lt;="&amp;J$5,'Leave Log'!$D$5:$D$304,"&gt;="&amp;J$5,'Leave Log'!$F$5:$F$304,"&lt;&gt;Rejected",'Leave Log'!$B$5:$B$304,"SL")&gt;0,"SL",IF(COUNTIFS('Leave Log'!$A$5:$A$304,$A15,'Leave Log'!$C$5:$C$304,"&lt;="&amp;J$5,'Leave Log'!$D$5:$D$304,"&gt;="&amp;J$5,'Leave Log'!$F$5:$F$304,"&lt;&gt;Rejected",'Leave Log'!$B$5:$B$304,"CL")&gt;0,"CL",IF(COUNTIFS('Leave Log'!$A$5:$A$304,$A15,'Leave Log'!$C$5:$C$304,"&lt;="&amp;J$5,'Leave Log'!$D$5:$D$304,"&gt;="&amp;J$5,'Leave Log'!$F$5:$F$304,"&lt;&gt;Rejected",'Leave Log'!$B$5:$B$304,"UL")&gt;0,"UL",IF(COUNTIFS('Leave Log'!$A$5:$A$304,$A15,'Leave Log'!$C$5:$C$304,"&lt;="&amp;J$5,'Leave Log'!$D$5:$D$304,"&gt;="&amp;J$5,'Leave Log'!$F$5:$F$304,"&lt;&gt;Rejected",'Leave Log'!$B$5:$B$304,"OT")&gt;0,"OT",""))))))</f>
        <v/>
      </c>
      <c r="K15" s="12" t="str">
        <f aca="false">IF(OR(K$5="",$A15=""),"",IF(COUNTIFS('Leave Log'!$A$5:$A$304,$A15,'Leave Log'!$C$5:$C$304,"&lt;="&amp;K$5,'Leave Log'!$D$5:$D$304,"&gt;="&amp;K$5,'Leave Log'!$F$5:$F$304,"&lt;&gt;Rejected",'Leave Log'!$B$5:$B$304,"AL")&gt;0,"AL",IF(COUNTIFS('Leave Log'!$A$5:$A$304,$A15,'Leave Log'!$C$5:$C$304,"&lt;="&amp;K$5,'Leave Log'!$D$5:$D$304,"&gt;="&amp;K$5,'Leave Log'!$F$5:$F$304,"&lt;&gt;Rejected",'Leave Log'!$B$5:$B$304,"SL")&gt;0,"SL",IF(COUNTIFS('Leave Log'!$A$5:$A$304,$A15,'Leave Log'!$C$5:$C$304,"&lt;="&amp;K$5,'Leave Log'!$D$5:$D$304,"&gt;="&amp;K$5,'Leave Log'!$F$5:$F$304,"&lt;&gt;Rejected",'Leave Log'!$B$5:$B$304,"CL")&gt;0,"CL",IF(COUNTIFS('Leave Log'!$A$5:$A$304,$A15,'Leave Log'!$C$5:$C$304,"&lt;="&amp;K$5,'Leave Log'!$D$5:$D$304,"&gt;="&amp;K$5,'Leave Log'!$F$5:$F$304,"&lt;&gt;Rejected",'Leave Log'!$B$5:$B$304,"UL")&gt;0,"UL",IF(COUNTIFS('Leave Log'!$A$5:$A$304,$A15,'Leave Log'!$C$5:$C$304,"&lt;="&amp;K$5,'Leave Log'!$D$5:$D$304,"&gt;="&amp;K$5,'Leave Log'!$F$5:$F$304,"&lt;&gt;Rejected",'Leave Log'!$B$5:$B$304,"OT")&gt;0,"OT",""))))))</f>
        <v/>
      </c>
      <c r="L15" s="12" t="str">
        <f aca="false">IF(OR(L$5="",$A15=""),"",IF(COUNTIFS('Leave Log'!$A$5:$A$304,$A15,'Leave Log'!$C$5:$C$304,"&lt;="&amp;L$5,'Leave Log'!$D$5:$D$304,"&gt;="&amp;L$5,'Leave Log'!$F$5:$F$304,"&lt;&gt;Rejected",'Leave Log'!$B$5:$B$304,"AL")&gt;0,"AL",IF(COUNTIFS('Leave Log'!$A$5:$A$304,$A15,'Leave Log'!$C$5:$C$304,"&lt;="&amp;L$5,'Leave Log'!$D$5:$D$304,"&gt;="&amp;L$5,'Leave Log'!$F$5:$F$304,"&lt;&gt;Rejected",'Leave Log'!$B$5:$B$304,"SL")&gt;0,"SL",IF(COUNTIFS('Leave Log'!$A$5:$A$304,$A15,'Leave Log'!$C$5:$C$304,"&lt;="&amp;L$5,'Leave Log'!$D$5:$D$304,"&gt;="&amp;L$5,'Leave Log'!$F$5:$F$304,"&lt;&gt;Rejected",'Leave Log'!$B$5:$B$304,"CL")&gt;0,"CL",IF(COUNTIFS('Leave Log'!$A$5:$A$304,$A15,'Leave Log'!$C$5:$C$304,"&lt;="&amp;L$5,'Leave Log'!$D$5:$D$304,"&gt;="&amp;L$5,'Leave Log'!$F$5:$F$304,"&lt;&gt;Rejected",'Leave Log'!$B$5:$B$304,"UL")&gt;0,"UL",IF(COUNTIFS('Leave Log'!$A$5:$A$304,$A15,'Leave Log'!$C$5:$C$304,"&lt;="&amp;L$5,'Leave Log'!$D$5:$D$304,"&gt;="&amp;L$5,'Leave Log'!$F$5:$F$304,"&lt;&gt;Rejected",'Leave Log'!$B$5:$B$304,"OT")&gt;0,"OT",""))))))</f>
        <v/>
      </c>
      <c r="M15" s="12" t="str">
        <f aca="false">IF(OR(M$5="",$A15=""),"",IF(COUNTIFS('Leave Log'!$A$5:$A$304,$A15,'Leave Log'!$C$5:$C$304,"&lt;="&amp;M$5,'Leave Log'!$D$5:$D$304,"&gt;="&amp;M$5,'Leave Log'!$F$5:$F$304,"&lt;&gt;Rejected",'Leave Log'!$B$5:$B$304,"AL")&gt;0,"AL",IF(COUNTIFS('Leave Log'!$A$5:$A$304,$A15,'Leave Log'!$C$5:$C$304,"&lt;="&amp;M$5,'Leave Log'!$D$5:$D$304,"&gt;="&amp;M$5,'Leave Log'!$F$5:$F$304,"&lt;&gt;Rejected",'Leave Log'!$B$5:$B$304,"SL")&gt;0,"SL",IF(COUNTIFS('Leave Log'!$A$5:$A$304,$A15,'Leave Log'!$C$5:$C$304,"&lt;="&amp;M$5,'Leave Log'!$D$5:$D$304,"&gt;="&amp;M$5,'Leave Log'!$F$5:$F$304,"&lt;&gt;Rejected",'Leave Log'!$B$5:$B$304,"CL")&gt;0,"CL",IF(COUNTIFS('Leave Log'!$A$5:$A$304,$A15,'Leave Log'!$C$5:$C$304,"&lt;="&amp;M$5,'Leave Log'!$D$5:$D$304,"&gt;="&amp;M$5,'Leave Log'!$F$5:$F$304,"&lt;&gt;Rejected",'Leave Log'!$B$5:$B$304,"UL")&gt;0,"UL",IF(COUNTIFS('Leave Log'!$A$5:$A$304,$A15,'Leave Log'!$C$5:$C$304,"&lt;="&amp;M$5,'Leave Log'!$D$5:$D$304,"&gt;="&amp;M$5,'Leave Log'!$F$5:$F$304,"&lt;&gt;Rejected",'Leave Log'!$B$5:$B$304,"OT")&gt;0,"OT",""))))))</f>
        <v/>
      </c>
      <c r="N15" s="12" t="str">
        <f aca="false">IF(OR(N$5="",$A15=""),"",IF(COUNTIFS('Leave Log'!$A$5:$A$304,$A15,'Leave Log'!$C$5:$C$304,"&lt;="&amp;N$5,'Leave Log'!$D$5:$D$304,"&gt;="&amp;N$5,'Leave Log'!$F$5:$F$304,"&lt;&gt;Rejected",'Leave Log'!$B$5:$B$304,"AL")&gt;0,"AL",IF(COUNTIFS('Leave Log'!$A$5:$A$304,$A15,'Leave Log'!$C$5:$C$304,"&lt;="&amp;N$5,'Leave Log'!$D$5:$D$304,"&gt;="&amp;N$5,'Leave Log'!$F$5:$F$304,"&lt;&gt;Rejected",'Leave Log'!$B$5:$B$304,"SL")&gt;0,"SL",IF(COUNTIFS('Leave Log'!$A$5:$A$304,$A15,'Leave Log'!$C$5:$C$304,"&lt;="&amp;N$5,'Leave Log'!$D$5:$D$304,"&gt;="&amp;N$5,'Leave Log'!$F$5:$F$304,"&lt;&gt;Rejected",'Leave Log'!$B$5:$B$304,"CL")&gt;0,"CL",IF(COUNTIFS('Leave Log'!$A$5:$A$304,$A15,'Leave Log'!$C$5:$C$304,"&lt;="&amp;N$5,'Leave Log'!$D$5:$D$304,"&gt;="&amp;N$5,'Leave Log'!$F$5:$F$304,"&lt;&gt;Rejected",'Leave Log'!$B$5:$B$304,"UL")&gt;0,"UL",IF(COUNTIFS('Leave Log'!$A$5:$A$304,$A15,'Leave Log'!$C$5:$C$304,"&lt;="&amp;N$5,'Leave Log'!$D$5:$D$304,"&gt;="&amp;N$5,'Leave Log'!$F$5:$F$304,"&lt;&gt;Rejected",'Leave Log'!$B$5:$B$304,"OT")&gt;0,"OT",""))))))</f>
        <v/>
      </c>
      <c r="O15" s="12" t="str">
        <f aca="false">IF(OR(O$5="",$A15=""),"",IF(COUNTIFS('Leave Log'!$A$5:$A$304,$A15,'Leave Log'!$C$5:$C$304,"&lt;="&amp;O$5,'Leave Log'!$D$5:$D$304,"&gt;="&amp;O$5,'Leave Log'!$F$5:$F$304,"&lt;&gt;Rejected",'Leave Log'!$B$5:$B$304,"AL")&gt;0,"AL",IF(COUNTIFS('Leave Log'!$A$5:$A$304,$A15,'Leave Log'!$C$5:$C$304,"&lt;="&amp;O$5,'Leave Log'!$D$5:$D$304,"&gt;="&amp;O$5,'Leave Log'!$F$5:$F$304,"&lt;&gt;Rejected",'Leave Log'!$B$5:$B$304,"SL")&gt;0,"SL",IF(COUNTIFS('Leave Log'!$A$5:$A$304,$A15,'Leave Log'!$C$5:$C$304,"&lt;="&amp;O$5,'Leave Log'!$D$5:$D$304,"&gt;="&amp;O$5,'Leave Log'!$F$5:$F$304,"&lt;&gt;Rejected",'Leave Log'!$B$5:$B$304,"CL")&gt;0,"CL",IF(COUNTIFS('Leave Log'!$A$5:$A$304,$A15,'Leave Log'!$C$5:$C$304,"&lt;="&amp;O$5,'Leave Log'!$D$5:$D$304,"&gt;="&amp;O$5,'Leave Log'!$F$5:$F$304,"&lt;&gt;Rejected",'Leave Log'!$B$5:$B$304,"UL")&gt;0,"UL",IF(COUNTIFS('Leave Log'!$A$5:$A$304,$A15,'Leave Log'!$C$5:$C$304,"&lt;="&amp;O$5,'Leave Log'!$D$5:$D$304,"&gt;="&amp;O$5,'Leave Log'!$F$5:$F$304,"&lt;&gt;Rejected",'Leave Log'!$B$5:$B$304,"OT")&gt;0,"OT",""))))))</f>
        <v/>
      </c>
      <c r="P15" s="12" t="str">
        <f aca="false">IF(OR(P$5="",$A15=""),"",IF(COUNTIFS('Leave Log'!$A$5:$A$304,$A15,'Leave Log'!$C$5:$C$304,"&lt;="&amp;P$5,'Leave Log'!$D$5:$D$304,"&gt;="&amp;P$5,'Leave Log'!$F$5:$F$304,"&lt;&gt;Rejected",'Leave Log'!$B$5:$B$304,"AL")&gt;0,"AL",IF(COUNTIFS('Leave Log'!$A$5:$A$304,$A15,'Leave Log'!$C$5:$C$304,"&lt;="&amp;P$5,'Leave Log'!$D$5:$D$304,"&gt;="&amp;P$5,'Leave Log'!$F$5:$F$304,"&lt;&gt;Rejected",'Leave Log'!$B$5:$B$304,"SL")&gt;0,"SL",IF(COUNTIFS('Leave Log'!$A$5:$A$304,$A15,'Leave Log'!$C$5:$C$304,"&lt;="&amp;P$5,'Leave Log'!$D$5:$D$304,"&gt;="&amp;P$5,'Leave Log'!$F$5:$F$304,"&lt;&gt;Rejected",'Leave Log'!$B$5:$B$304,"CL")&gt;0,"CL",IF(COUNTIFS('Leave Log'!$A$5:$A$304,$A15,'Leave Log'!$C$5:$C$304,"&lt;="&amp;P$5,'Leave Log'!$D$5:$D$304,"&gt;="&amp;P$5,'Leave Log'!$F$5:$F$304,"&lt;&gt;Rejected",'Leave Log'!$B$5:$B$304,"UL")&gt;0,"UL",IF(COUNTIFS('Leave Log'!$A$5:$A$304,$A15,'Leave Log'!$C$5:$C$304,"&lt;="&amp;P$5,'Leave Log'!$D$5:$D$304,"&gt;="&amp;P$5,'Leave Log'!$F$5:$F$304,"&lt;&gt;Rejected",'Leave Log'!$B$5:$B$304,"OT")&gt;0,"OT",""))))))</f>
        <v/>
      </c>
      <c r="Q15" s="12" t="str">
        <f aca="false">IF(OR(Q$5="",$A15=""),"",IF(COUNTIFS('Leave Log'!$A$5:$A$304,$A15,'Leave Log'!$C$5:$C$304,"&lt;="&amp;Q$5,'Leave Log'!$D$5:$D$304,"&gt;="&amp;Q$5,'Leave Log'!$F$5:$F$304,"&lt;&gt;Rejected",'Leave Log'!$B$5:$B$304,"AL")&gt;0,"AL",IF(COUNTIFS('Leave Log'!$A$5:$A$304,$A15,'Leave Log'!$C$5:$C$304,"&lt;="&amp;Q$5,'Leave Log'!$D$5:$D$304,"&gt;="&amp;Q$5,'Leave Log'!$F$5:$F$304,"&lt;&gt;Rejected",'Leave Log'!$B$5:$B$304,"SL")&gt;0,"SL",IF(COUNTIFS('Leave Log'!$A$5:$A$304,$A15,'Leave Log'!$C$5:$C$304,"&lt;="&amp;Q$5,'Leave Log'!$D$5:$D$304,"&gt;="&amp;Q$5,'Leave Log'!$F$5:$F$304,"&lt;&gt;Rejected",'Leave Log'!$B$5:$B$304,"CL")&gt;0,"CL",IF(COUNTIFS('Leave Log'!$A$5:$A$304,$A15,'Leave Log'!$C$5:$C$304,"&lt;="&amp;Q$5,'Leave Log'!$D$5:$D$304,"&gt;="&amp;Q$5,'Leave Log'!$F$5:$F$304,"&lt;&gt;Rejected",'Leave Log'!$B$5:$B$304,"UL")&gt;0,"UL",IF(COUNTIFS('Leave Log'!$A$5:$A$304,$A15,'Leave Log'!$C$5:$C$304,"&lt;="&amp;Q$5,'Leave Log'!$D$5:$D$304,"&gt;="&amp;Q$5,'Leave Log'!$F$5:$F$304,"&lt;&gt;Rejected",'Leave Log'!$B$5:$B$304,"OT")&gt;0,"OT",""))))))</f>
        <v/>
      </c>
      <c r="R15" s="12" t="str">
        <f aca="false">IF(OR(R$5="",$A15=""),"",IF(COUNTIFS('Leave Log'!$A$5:$A$304,$A15,'Leave Log'!$C$5:$C$304,"&lt;="&amp;R$5,'Leave Log'!$D$5:$D$304,"&gt;="&amp;R$5,'Leave Log'!$F$5:$F$304,"&lt;&gt;Rejected",'Leave Log'!$B$5:$B$304,"AL")&gt;0,"AL",IF(COUNTIFS('Leave Log'!$A$5:$A$304,$A15,'Leave Log'!$C$5:$C$304,"&lt;="&amp;R$5,'Leave Log'!$D$5:$D$304,"&gt;="&amp;R$5,'Leave Log'!$F$5:$F$304,"&lt;&gt;Rejected",'Leave Log'!$B$5:$B$304,"SL")&gt;0,"SL",IF(COUNTIFS('Leave Log'!$A$5:$A$304,$A15,'Leave Log'!$C$5:$C$304,"&lt;="&amp;R$5,'Leave Log'!$D$5:$D$304,"&gt;="&amp;R$5,'Leave Log'!$F$5:$F$304,"&lt;&gt;Rejected",'Leave Log'!$B$5:$B$304,"CL")&gt;0,"CL",IF(COUNTIFS('Leave Log'!$A$5:$A$304,$A15,'Leave Log'!$C$5:$C$304,"&lt;="&amp;R$5,'Leave Log'!$D$5:$D$304,"&gt;="&amp;R$5,'Leave Log'!$F$5:$F$304,"&lt;&gt;Rejected",'Leave Log'!$B$5:$B$304,"UL")&gt;0,"UL",IF(COUNTIFS('Leave Log'!$A$5:$A$304,$A15,'Leave Log'!$C$5:$C$304,"&lt;="&amp;R$5,'Leave Log'!$D$5:$D$304,"&gt;="&amp;R$5,'Leave Log'!$F$5:$F$304,"&lt;&gt;Rejected",'Leave Log'!$B$5:$B$304,"OT")&gt;0,"OT",""))))))</f>
        <v/>
      </c>
      <c r="S15" s="12" t="str">
        <f aca="false">IF(OR(S$5="",$A15=""),"",IF(COUNTIFS('Leave Log'!$A$5:$A$304,$A15,'Leave Log'!$C$5:$C$304,"&lt;="&amp;S$5,'Leave Log'!$D$5:$D$304,"&gt;="&amp;S$5,'Leave Log'!$F$5:$F$304,"&lt;&gt;Rejected",'Leave Log'!$B$5:$B$304,"AL")&gt;0,"AL",IF(COUNTIFS('Leave Log'!$A$5:$A$304,$A15,'Leave Log'!$C$5:$C$304,"&lt;="&amp;S$5,'Leave Log'!$D$5:$D$304,"&gt;="&amp;S$5,'Leave Log'!$F$5:$F$304,"&lt;&gt;Rejected",'Leave Log'!$B$5:$B$304,"SL")&gt;0,"SL",IF(COUNTIFS('Leave Log'!$A$5:$A$304,$A15,'Leave Log'!$C$5:$C$304,"&lt;="&amp;S$5,'Leave Log'!$D$5:$D$304,"&gt;="&amp;S$5,'Leave Log'!$F$5:$F$304,"&lt;&gt;Rejected",'Leave Log'!$B$5:$B$304,"CL")&gt;0,"CL",IF(COUNTIFS('Leave Log'!$A$5:$A$304,$A15,'Leave Log'!$C$5:$C$304,"&lt;="&amp;S$5,'Leave Log'!$D$5:$D$304,"&gt;="&amp;S$5,'Leave Log'!$F$5:$F$304,"&lt;&gt;Rejected",'Leave Log'!$B$5:$B$304,"UL")&gt;0,"UL",IF(COUNTIFS('Leave Log'!$A$5:$A$304,$A15,'Leave Log'!$C$5:$C$304,"&lt;="&amp;S$5,'Leave Log'!$D$5:$D$304,"&gt;="&amp;S$5,'Leave Log'!$F$5:$F$304,"&lt;&gt;Rejected",'Leave Log'!$B$5:$B$304,"OT")&gt;0,"OT",""))))))</f>
        <v/>
      </c>
      <c r="T15" s="12" t="str">
        <f aca="false">IF(OR(T$5="",$A15=""),"",IF(COUNTIFS('Leave Log'!$A$5:$A$304,$A15,'Leave Log'!$C$5:$C$304,"&lt;="&amp;T$5,'Leave Log'!$D$5:$D$304,"&gt;="&amp;T$5,'Leave Log'!$F$5:$F$304,"&lt;&gt;Rejected",'Leave Log'!$B$5:$B$304,"AL")&gt;0,"AL",IF(COUNTIFS('Leave Log'!$A$5:$A$304,$A15,'Leave Log'!$C$5:$C$304,"&lt;="&amp;T$5,'Leave Log'!$D$5:$D$304,"&gt;="&amp;T$5,'Leave Log'!$F$5:$F$304,"&lt;&gt;Rejected",'Leave Log'!$B$5:$B$304,"SL")&gt;0,"SL",IF(COUNTIFS('Leave Log'!$A$5:$A$304,$A15,'Leave Log'!$C$5:$C$304,"&lt;="&amp;T$5,'Leave Log'!$D$5:$D$304,"&gt;="&amp;T$5,'Leave Log'!$F$5:$F$304,"&lt;&gt;Rejected",'Leave Log'!$B$5:$B$304,"CL")&gt;0,"CL",IF(COUNTIFS('Leave Log'!$A$5:$A$304,$A15,'Leave Log'!$C$5:$C$304,"&lt;="&amp;T$5,'Leave Log'!$D$5:$D$304,"&gt;="&amp;T$5,'Leave Log'!$F$5:$F$304,"&lt;&gt;Rejected",'Leave Log'!$B$5:$B$304,"UL")&gt;0,"UL",IF(COUNTIFS('Leave Log'!$A$5:$A$304,$A15,'Leave Log'!$C$5:$C$304,"&lt;="&amp;T$5,'Leave Log'!$D$5:$D$304,"&gt;="&amp;T$5,'Leave Log'!$F$5:$F$304,"&lt;&gt;Rejected",'Leave Log'!$B$5:$B$304,"OT")&gt;0,"OT",""))))))</f>
        <v/>
      </c>
      <c r="U15" s="12" t="str">
        <f aca="false">IF(OR(U$5="",$A15=""),"",IF(COUNTIFS('Leave Log'!$A$5:$A$304,$A15,'Leave Log'!$C$5:$C$304,"&lt;="&amp;U$5,'Leave Log'!$D$5:$D$304,"&gt;="&amp;U$5,'Leave Log'!$F$5:$F$304,"&lt;&gt;Rejected",'Leave Log'!$B$5:$B$304,"AL")&gt;0,"AL",IF(COUNTIFS('Leave Log'!$A$5:$A$304,$A15,'Leave Log'!$C$5:$C$304,"&lt;="&amp;U$5,'Leave Log'!$D$5:$D$304,"&gt;="&amp;U$5,'Leave Log'!$F$5:$F$304,"&lt;&gt;Rejected",'Leave Log'!$B$5:$B$304,"SL")&gt;0,"SL",IF(COUNTIFS('Leave Log'!$A$5:$A$304,$A15,'Leave Log'!$C$5:$C$304,"&lt;="&amp;U$5,'Leave Log'!$D$5:$D$304,"&gt;="&amp;U$5,'Leave Log'!$F$5:$F$304,"&lt;&gt;Rejected",'Leave Log'!$B$5:$B$304,"CL")&gt;0,"CL",IF(COUNTIFS('Leave Log'!$A$5:$A$304,$A15,'Leave Log'!$C$5:$C$304,"&lt;="&amp;U$5,'Leave Log'!$D$5:$D$304,"&gt;="&amp;U$5,'Leave Log'!$F$5:$F$304,"&lt;&gt;Rejected",'Leave Log'!$B$5:$B$304,"UL")&gt;0,"UL",IF(COUNTIFS('Leave Log'!$A$5:$A$304,$A15,'Leave Log'!$C$5:$C$304,"&lt;="&amp;U$5,'Leave Log'!$D$5:$D$304,"&gt;="&amp;U$5,'Leave Log'!$F$5:$F$304,"&lt;&gt;Rejected",'Leave Log'!$B$5:$B$304,"OT")&gt;0,"OT",""))))))</f>
        <v/>
      </c>
      <c r="V15" s="12" t="str">
        <f aca="false">IF(OR(V$5="",$A15=""),"",IF(COUNTIFS('Leave Log'!$A$5:$A$304,$A15,'Leave Log'!$C$5:$C$304,"&lt;="&amp;V$5,'Leave Log'!$D$5:$D$304,"&gt;="&amp;V$5,'Leave Log'!$F$5:$F$304,"&lt;&gt;Rejected",'Leave Log'!$B$5:$B$304,"AL")&gt;0,"AL",IF(COUNTIFS('Leave Log'!$A$5:$A$304,$A15,'Leave Log'!$C$5:$C$304,"&lt;="&amp;V$5,'Leave Log'!$D$5:$D$304,"&gt;="&amp;V$5,'Leave Log'!$F$5:$F$304,"&lt;&gt;Rejected",'Leave Log'!$B$5:$B$304,"SL")&gt;0,"SL",IF(COUNTIFS('Leave Log'!$A$5:$A$304,$A15,'Leave Log'!$C$5:$C$304,"&lt;="&amp;V$5,'Leave Log'!$D$5:$D$304,"&gt;="&amp;V$5,'Leave Log'!$F$5:$F$304,"&lt;&gt;Rejected",'Leave Log'!$B$5:$B$304,"CL")&gt;0,"CL",IF(COUNTIFS('Leave Log'!$A$5:$A$304,$A15,'Leave Log'!$C$5:$C$304,"&lt;="&amp;V$5,'Leave Log'!$D$5:$D$304,"&gt;="&amp;V$5,'Leave Log'!$F$5:$F$304,"&lt;&gt;Rejected",'Leave Log'!$B$5:$B$304,"UL")&gt;0,"UL",IF(COUNTIFS('Leave Log'!$A$5:$A$304,$A15,'Leave Log'!$C$5:$C$304,"&lt;="&amp;V$5,'Leave Log'!$D$5:$D$304,"&gt;="&amp;V$5,'Leave Log'!$F$5:$F$304,"&lt;&gt;Rejected",'Leave Log'!$B$5:$B$304,"OT")&gt;0,"OT",""))))))</f>
        <v/>
      </c>
      <c r="W15" s="12" t="str">
        <f aca="false">IF(OR(W$5="",$A15=""),"",IF(COUNTIFS('Leave Log'!$A$5:$A$304,$A15,'Leave Log'!$C$5:$C$304,"&lt;="&amp;W$5,'Leave Log'!$D$5:$D$304,"&gt;="&amp;W$5,'Leave Log'!$F$5:$F$304,"&lt;&gt;Rejected",'Leave Log'!$B$5:$B$304,"AL")&gt;0,"AL",IF(COUNTIFS('Leave Log'!$A$5:$A$304,$A15,'Leave Log'!$C$5:$C$304,"&lt;="&amp;W$5,'Leave Log'!$D$5:$D$304,"&gt;="&amp;W$5,'Leave Log'!$F$5:$F$304,"&lt;&gt;Rejected",'Leave Log'!$B$5:$B$304,"SL")&gt;0,"SL",IF(COUNTIFS('Leave Log'!$A$5:$A$304,$A15,'Leave Log'!$C$5:$C$304,"&lt;="&amp;W$5,'Leave Log'!$D$5:$D$304,"&gt;="&amp;W$5,'Leave Log'!$F$5:$F$304,"&lt;&gt;Rejected",'Leave Log'!$B$5:$B$304,"CL")&gt;0,"CL",IF(COUNTIFS('Leave Log'!$A$5:$A$304,$A15,'Leave Log'!$C$5:$C$304,"&lt;="&amp;W$5,'Leave Log'!$D$5:$D$304,"&gt;="&amp;W$5,'Leave Log'!$F$5:$F$304,"&lt;&gt;Rejected",'Leave Log'!$B$5:$B$304,"UL")&gt;0,"UL",IF(COUNTIFS('Leave Log'!$A$5:$A$304,$A15,'Leave Log'!$C$5:$C$304,"&lt;="&amp;W$5,'Leave Log'!$D$5:$D$304,"&gt;="&amp;W$5,'Leave Log'!$F$5:$F$304,"&lt;&gt;Rejected",'Leave Log'!$B$5:$B$304,"OT")&gt;0,"OT",""))))))</f>
        <v/>
      </c>
      <c r="X15" s="12" t="str">
        <f aca="false">IF(OR(X$5="",$A15=""),"",IF(COUNTIFS('Leave Log'!$A$5:$A$304,$A15,'Leave Log'!$C$5:$C$304,"&lt;="&amp;X$5,'Leave Log'!$D$5:$D$304,"&gt;="&amp;X$5,'Leave Log'!$F$5:$F$304,"&lt;&gt;Rejected",'Leave Log'!$B$5:$B$304,"AL")&gt;0,"AL",IF(COUNTIFS('Leave Log'!$A$5:$A$304,$A15,'Leave Log'!$C$5:$C$304,"&lt;="&amp;X$5,'Leave Log'!$D$5:$D$304,"&gt;="&amp;X$5,'Leave Log'!$F$5:$F$304,"&lt;&gt;Rejected",'Leave Log'!$B$5:$B$304,"SL")&gt;0,"SL",IF(COUNTIFS('Leave Log'!$A$5:$A$304,$A15,'Leave Log'!$C$5:$C$304,"&lt;="&amp;X$5,'Leave Log'!$D$5:$D$304,"&gt;="&amp;X$5,'Leave Log'!$F$5:$F$304,"&lt;&gt;Rejected",'Leave Log'!$B$5:$B$304,"CL")&gt;0,"CL",IF(COUNTIFS('Leave Log'!$A$5:$A$304,$A15,'Leave Log'!$C$5:$C$304,"&lt;="&amp;X$5,'Leave Log'!$D$5:$D$304,"&gt;="&amp;X$5,'Leave Log'!$F$5:$F$304,"&lt;&gt;Rejected",'Leave Log'!$B$5:$B$304,"UL")&gt;0,"UL",IF(COUNTIFS('Leave Log'!$A$5:$A$304,$A15,'Leave Log'!$C$5:$C$304,"&lt;="&amp;X$5,'Leave Log'!$D$5:$D$304,"&gt;="&amp;X$5,'Leave Log'!$F$5:$F$304,"&lt;&gt;Rejected",'Leave Log'!$B$5:$B$304,"OT")&gt;0,"OT",""))))))</f>
        <v/>
      </c>
      <c r="Y15" s="12" t="str">
        <f aca="false">IF(OR(Y$5="",$A15=""),"",IF(COUNTIFS('Leave Log'!$A$5:$A$304,$A15,'Leave Log'!$C$5:$C$304,"&lt;="&amp;Y$5,'Leave Log'!$D$5:$D$304,"&gt;="&amp;Y$5,'Leave Log'!$F$5:$F$304,"&lt;&gt;Rejected",'Leave Log'!$B$5:$B$304,"AL")&gt;0,"AL",IF(COUNTIFS('Leave Log'!$A$5:$A$304,$A15,'Leave Log'!$C$5:$C$304,"&lt;="&amp;Y$5,'Leave Log'!$D$5:$D$304,"&gt;="&amp;Y$5,'Leave Log'!$F$5:$F$304,"&lt;&gt;Rejected",'Leave Log'!$B$5:$B$304,"SL")&gt;0,"SL",IF(COUNTIFS('Leave Log'!$A$5:$A$304,$A15,'Leave Log'!$C$5:$C$304,"&lt;="&amp;Y$5,'Leave Log'!$D$5:$D$304,"&gt;="&amp;Y$5,'Leave Log'!$F$5:$F$304,"&lt;&gt;Rejected",'Leave Log'!$B$5:$B$304,"CL")&gt;0,"CL",IF(COUNTIFS('Leave Log'!$A$5:$A$304,$A15,'Leave Log'!$C$5:$C$304,"&lt;="&amp;Y$5,'Leave Log'!$D$5:$D$304,"&gt;="&amp;Y$5,'Leave Log'!$F$5:$F$304,"&lt;&gt;Rejected",'Leave Log'!$B$5:$B$304,"UL")&gt;0,"UL",IF(COUNTIFS('Leave Log'!$A$5:$A$304,$A15,'Leave Log'!$C$5:$C$304,"&lt;="&amp;Y$5,'Leave Log'!$D$5:$D$304,"&gt;="&amp;Y$5,'Leave Log'!$F$5:$F$304,"&lt;&gt;Rejected",'Leave Log'!$B$5:$B$304,"OT")&gt;0,"OT",""))))))</f>
        <v/>
      </c>
      <c r="Z15" s="12" t="str">
        <f aca="false">IF(OR(Z$5="",$A15=""),"",IF(COUNTIFS('Leave Log'!$A$5:$A$304,$A15,'Leave Log'!$C$5:$C$304,"&lt;="&amp;Z$5,'Leave Log'!$D$5:$D$304,"&gt;="&amp;Z$5,'Leave Log'!$F$5:$F$304,"&lt;&gt;Rejected",'Leave Log'!$B$5:$B$304,"AL")&gt;0,"AL",IF(COUNTIFS('Leave Log'!$A$5:$A$304,$A15,'Leave Log'!$C$5:$C$304,"&lt;="&amp;Z$5,'Leave Log'!$D$5:$D$304,"&gt;="&amp;Z$5,'Leave Log'!$F$5:$F$304,"&lt;&gt;Rejected",'Leave Log'!$B$5:$B$304,"SL")&gt;0,"SL",IF(COUNTIFS('Leave Log'!$A$5:$A$304,$A15,'Leave Log'!$C$5:$C$304,"&lt;="&amp;Z$5,'Leave Log'!$D$5:$D$304,"&gt;="&amp;Z$5,'Leave Log'!$F$5:$F$304,"&lt;&gt;Rejected",'Leave Log'!$B$5:$B$304,"CL")&gt;0,"CL",IF(COUNTIFS('Leave Log'!$A$5:$A$304,$A15,'Leave Log'!$C$5:$C$304,"&lt;="&amp;Z$5,'Leave Log'!$D$5:$D$304,"&gt;="&amp;Z$5,'Leave Log'!$F$5:$F$304,"&lt;&gt;Rejected",'Leave Log'!$B$5:$B$304,"UL")&gt;0,"UL",IF(COUNTIFS('Leave Log'!$A$5:$A$304,$A15,'Leave Log'!$C$5:$C$304,"&lt;="&amp;Z$5,'Leave Log'!$D$5:$D$304,"&gt;="&amp;Z$5,'Leave Log'!$F$5:$F$304,"&lt;&gt;Rejected",'Leave Log'!$B$5:$B$304,"OT")&gt;0,"OT",""))))))</f>
        <v/>
      </c>
      <c r="AA15" s="12" t="str">
        <f aca="false">IF(OR(AA$5="",$A15=""),"",IF(COUNTIFS('Leave Log'!$A$5:$A$304,$A15,'Leave Log'!$C$5:$C$304,"&lt;="&amp;AA$5,'Leave Log'!$D$5:$D$304,"&gt;="&amp;AA$5,'Leave Log'!$F$5:$F$304,"&lt;&gt;Rejected",'Leave Log'!$B$5:$B$304,"AL")&gt;0,"AL",IF(COUNTIFS('Leave Log'!$A$5:$A$304,$A15,'Leave Log'!$C$5:$C$304,"&lt;="&amp;AA$5,'Leave Log'!$D$5:$D$304,"&gt;="&amp;AA$5,'Leave Log'!$F$5:$F$304,"&lt;&gt;Rejected",'Leave Log'!$B$5:$B$304,"SL")&gt;0,"SL",IF(COUNTIFS('Leave Log'!$A$5:$A$304,$A15,'Leave Log'!$C$5:$C$304,"&lt;="&amp;AA$5,'Leave Log'!$D$5:$D$304,"&gt;="&amp;AA$5,'Leave Log'!$F$5:$F$304,"&lt;&gt;Rejected",'Leave Log'!$B$5:$B$304,"CL")&gt;0,"CL",IF(COUNTIFS('Leave Log'!$A$5:$A$304,$A15,'Leave Log'!$C$5:$C$304,"&lt;="&amp;AA$5,'Leave Log'!$D$5:$D$304,"&gt;="&amp;AA$5,'Leave Log'!$F$5:$F$304,"&lt;&gt;Rejected",'Leave Log'!$B$5:$B$304,"UL")&gt;0,"UL",IF(COUNTIFS('Leave Log'!$A$5:$A$304,$A15,'Leave Log'!$C$5:$C$304,"&lt;="&amp;AA$5,'Leave Log'!$D$5:$D$304,"&gt;="&amp;AA$5,'Leave Log'!$F$5:$F$304,"&lt;&gt;Rejected",'Leave Log'!$B$5:$B$304,"OT")&gt;0,"OT",""))))))</f>
        <v/>
      </c>
      <c r="AB15" s="12" t="str">
        <f aca="false">IF(OR(AB$5="",$A15=""),"",IF(COUNTIFS('Leave Log'!$A$5:$A$304,$A15,'Leave Log'!$C$5:$C$304,"&lt;="&amp;AB$5,'Leave Log'!$D$5:$D$304,"&gt;="&amp;AB$5,'Leave Log'!$F$5:$F$304,"&lt;&gt;Rejected",'Leave Log'!$B$5:$B$304,"AL")&gt;0,"AL",IF(COUNTIFS('Leave Log'!$A$5:$A$304,$A15,'Leave Log'!$C$5:$C$304,"&lt;="&amp;AB$5,'Leave Log'!$D$5:$D$304,"&gt;="&amp;AB$5,'Leave Log'!$F$5:$F$304,"&lt;&gt;Rejected",'Leave Log'!$B$5:$B$304,"SL")&gt;0,"SL",IF(COUNTIFS('Leave Log'!$A$5:$A$304,$A15,'Leave Log'!$C$5:$C$304,"&lt;="&amp;AB$5,'Leave Log'!$D$5:$D$304,"&gt;="&amp;AB$5,'Leave Log'!$F$5:$F$304,"&lt;&gt;Rejected",'Leave Log'!$B$5:$B$304,"CL")&gt;0,"CL",IF(COUNTIFS('Leave Log'!$A$5:$A$304,$A15,'Leave Log'!$C$5:$C$304,"&lt;="&amp;AB$5,'Leave Log'!$D$5:$D$304,"&gt;="&amp;AB$5,'Leave Log'!$F$5:$F$304,"&lt;&gt;Rejected",'Leave Log'!$B$5:$B$304,"UL")&gt;0,"UL",IF(COUNTIFS('Leave Log'!$A$5:$A$304,$A15,'Leave Log'!$C$5:$C$304,"&lt;="&amp;AB$5,'Leave Log'!$D$5:$D$304,"&gt;="&amp;AB$5,'Leave Log'!$F$5:$F$304,"&lt;&gt;Rejected",'Leave Log'!$B$5:$B$304,"OT")&gt;0,"OT",""))))))</f>
        <v/>
      </c>
      <c r="AC15" s="12" t="str">
        <f aca="false">IF(OR(AC$5="",$A15=""),"",IF(COUNTIFS('Leave Log'!$A$5:$A$304,$A15,'Leave Log'!$C$5:$C$304,"&lt;="&amp;AC$5,'Leave Log'!$D$5:$D$304,"&gt;="&amp;AC$5,'Leave Log'!$F$5:$F$304,"&lt;&gt;Rejected",'Leave Log'!$B$5:$B$304,"AL")&gt;0,"AL",IF(COUNTIFS('Leave Log'!$A$5:$A$304,$A15,'Leave Log'!$C$5:$C$304,"&lt;="&amp;AC$5,'Leave Log'!$D$5:$D$304,"&gt;="&amp;AC$5,'Leave Log'!$F$5:$F$304,"&lt;&gt;Rejected",'Leave Log'!$B$5:$B$304,"SL")&gt;0,"SL",IF(COUNTIFS('Leave Log'!$A$5:$A$304,$A15,'Leave Log'!$C$5:$C$304,"&lt;="&amp;AC$5,'Leave Log'!$D$5:$D$304,"&gt;="&amp;AC$5,'Leave Log'!$F$5:$F$304,"&lt;&gt;Rejected",'Leave Log'!$B$5:$B$304,"CL")&gt;0,"CL",IF(COUNTIFS('Leave Log'!$A$5:$A$304,$A15,'Leave Log'!$C$5:$C$304,"&lt;="&amp;AC$5,'Leave Log'!$D$5:$D$304,"&gt;="&amp;AC$5,'Leave Log'!$F$5:$F$304,"&lt;&gt;Rejected",'Leave Log'!$B$5:$B$304,"UL")&gt;0,"UL",IF(COUNTIFS('Leave Log'!$A$5:$A$304,$A15,'Leave Log'!$C$5:$C$304,"&lt;="&amp;AC$5,'Leave Log'!$D$5:$D$304,"&gt;="&amp;AC$5,'Leave Log'!$F$5:$F$304,"&lt;&gt;Rejected",'Leave Log'!$B$5:$B$304,"OT")&gt;0,"OT",""))))))</f>
        <v/>
      </c>
      <c r="AD15" s="12" t="str">
        <f aca="false">IF(OR(AD$5="",$A15=""),"",IF(COUNTIFS('Leave Log'!$A$5:$A$304,$A15,'Leave Log'!$C$5:$C$304,"&lt;="&amp;AD$5,'Leave Log'!$D$5:$D$304,"&gt;="&amp;AD$5,'Leave Log'!$F$5:$F$304,"&lt;&gt;Rejected",'Leave Log'!$B$5:$B$304,"AL")&gt;0,"AL",IF(COUNTIFS('Leave Log'!$A$5:$A$304,$A15,'Leave Log'!$C$5:$C$304,"&lt;="&amp;AD$5,'Leave Log'!$D$5:$D$304,"&gt;="&amp;AD$5,'Leave Log'!$F$5:$F$304,"&lt;&gt;Rejected",'Leave Log'!$B$5:$B$304,"SL")&gt;0,"SL",IF(COUNTIFS('Leave Log'!$A$5:$A$304,$A15,'Leave Log'!$C$5:$C$304,"&lt;="&amp;AD$5,'Leave Log'!$D$5:$D$304,"&gt;="&amp;AD$5,'Leave Log'!$F$5:$F$304,"&lt;&gt;Rejected",'Leave Log'!$B$5:$B$304,"CL")&gt;0,"CL",IF(COUNTIFS('Leave Log'!$A$5:$A$304,$A15,'Leave Log'!$C$5:$C$304,"&lt;="&amp;AD$5,'Leave Log'!$D$5:$D$304,"&gt;="&amp;AD$5,'Leave Log'!$F$5:$F$304,"&lt;&gt;Rejected",'Leave Log'!$B$5:$B$304,"UL")&gt;0,"UL",IF(COUNTIFS('Leave Log'!$A$5:$A$304,$A15,'Leave Log'!$C$5:$C$304,"&lt;="&amp;AD$5,'Leave Log'!$D$5:$D$304,"&gt;="&amp;AD$5,'Leave Log'!$F$5:$F$304,"&lt;&gt;Rejected",'Leave Log'!$B$5:$B$304,"OT")&gt;0,"OT",""))))))</f>
        <v/>
      </c>
      <c r="AE15" s="12" t="str">
        <f aca="false">IF(OR(AE$5="",$A15=""),"",IF(COUNTIFS('Leave Log'!$A$5:$A$304,$A15,'Leave Log'!$C$5:$C$304,"&lt;="&amp;AE$5,'Leave Log'!$D$5:$D$304,"&gt;="&amp;AE$5,'Leave Log'!$F$5:$F$304,"&lt;&gt;Rejected",'Leave Log'!$B$5:$B$304,"AL")&gt;0,"AL",IF(COUNTIFS('Leave Log'!$A$5:$A$304,$A15,'Leave Log'!$C$5:$C$304,"&lt;="&amp;AE$5,'Leave Log'!$D$5:$D$304,"&gt;="&amp;AE$5,'Leave Log'!$F$5:$F$304,"&lt;&gt;Rejected",'Leave Log'!$B$5:$B$304,"SL")&gt;0,"SL",IF(COUNTIFS('Leave Log'!$A$5:$A$304,$A15,'Leave Log'!$C$5:$C$304,"&lt;="&amp;AE$5,'Leave Log'!$D$5:$D$304,"&gt;="&amp;AE$5,'Leave Log'!$F$5:$F$304,"&lt;&gt;Rejected",'Leave Log'!$B$5:$B$304,"CL")&gt;0,"CL",IF(COUNTIFS('Leave Log'!$A$5:$A$304,$A15,'Leave Log'!$C$5:$C$304,"&lt;="&amp;AE$5,'Leave Log'!$D$5:$D$304,"&gt;="&amp;AE$5,'Leave Log'!$F$5:$F$304,"&lt;&gt;Rejected",'Leave Log'!$B$5:$B$304,"UL")&gt;0,"UL",IF(COUNTIFS('Leave Log'!$A$5:$A$304,$A15,'Leave Log'!$C$5:$C$304,"&lt;="&amp;AE$5,'Leave Log'!$D$5:$D$304,"&gt;="&amp;AE$5,'Leave Log'!$F$5:$F$304,"&lt;&gt;Rejected",'Leave Log'!$B$5:$B$304,"OT")&gt;0,"OT",""))))))</f>
        <v/>
      </c>
      <c r="AF15" s="12" t="str">
        <f aca="false">IF(OR(AF$5="",$A15=""),"",IF(COUNTIFS('Leave Log'!$A$5:$A$304,$A15,'Leave Log'!$C$5:$C$304,"&lt;="&amp;AF$5,'Leave Log'!$D$5:$D$304,"&gt;="&amp;AF$5,'Leave Log'!$F$5:$F$304,"&lt;&gt;Rejected",'Leave Log'!$B$5:$B$304,"AL")&gt;0,"AL",IF(COUNTIFS('Leave Log'!$A$5:$A$304,$A15,'Leave Log'!$C$5:$C$304,"&lt;="&amp;AF$5,'Leave Log'!$D$5:$D$304,"&gt;="&amp;AF$5,'Leave Log'!$F$5:$F$304,"&lt;&gt;Rejected",'Leave Log'!$B$5:$B$304,"SL")&gt;0,"SL",IF(COUNTIFS('Leave Log'!$A$5:$A$304,$A15,'Leave Log'!$C$5:$C$304,"&lt;="&amp;AF$5,'Leave Log'!$D$5:$D$304,"&gt;="&amp;AF$5,'Leave Log'!$F$5:$F$304,"&lt;&gt;Rejected",'Leave Log'!$B$5:$B$304,"CL")&gt;0,"CL",IF(COUNTIFS('Leave Log'!$A$5:$A$304,$A15,'Leave Log'!$C$5:$C$304,"&lt;="&amp;AF$5,'Leave Log'!$D$5:$D$304,"&gt;="&amp;AF$5,'Leave Log'!$F$5:$F$304,"&lt;&gt;Rejected",'Leave Log'!$B$5:$B$304,"UL")&gt;0,"UL",IF(COUNTIFS('Leave Log'!$A$5:$A$304,$A15,'Leave Log'!$C$5:$C$304,"&lt;="&amp;AF$5,'Leave Log'!$D$5:$D$304,"&gt;="&amp;AF$5,'Leave Log'!$F$5:$F$304,"&lt;&gt;Rejected",'Leave Log'!$B$5:$B$304,"OT")&gt;0,"OT",""))))))</f>
        <v/>
      </c>
      <c r="AG15" s="12" t="str">
        <f aca="false">IF(OR(AG$5="",$A15=""),"",IF(COUNTIFS('Leave Log'!$A$5:$A$304,$A15,'Leave Log'!$C$5:$C$304,"&lt;="&amp;AG$5,'Leave Log'!$D$5:$D$304,"&gt;="&amp;AG$5,'Leave Log'!$F$5:$F$304,"&lt;&gt;Rejected",'Leave Log'!$B$5:$B$304,"AL")&gt;0,"AL",IF(COUNTIFS('Leave Log'!$A$5:$A$304,$A15,'Leave Log'!$C$5:$C$304,"&lt;="&amp;AG$5,'Leave Log'!$D$5:$D$304,"&gt;="&amp;AG$5,'Leave Log'!$F$5:$F$304,"&lt;&gt;Rejected",'Leave Log'!$B$5:$B$304,"SL")&gt;0,"SL",IF(COUNTIFS('Leave Log'!$A$5:$A$304,$A15,'Leave Log'!$C$5:$C$304,"&lt;="&amp;AG$5,'Leave Log'!$D$5:$D$304,"&gt;="&amp;AG$5,'Leave Log'!$F$5:$F$304,"&lt;&gt;Rejected",'Leave Log'!$B$5:$B$304,"CL")&gt;0,"CL",IF(COUNTIFS('Leave Log'!$A$5:$A$304,$A15,'Leave Log'!$C$5:$C$304,"&lt;="&amp;AG$5,'Leave Log'!$D$5:$D$304,"&gt;="&amp;AG$5,'Leave Log'!$F$5:$F$304,"&lt;&gt;Rejected",'Leave Log'!$B$5:$B$304,"UL")&gt;0,"UL",IF(COUNTIFS('Leave Log'!$A$5:$A$304,$A15,'Leave Log'!$C$5:$C$304,"&lt;="&amp;AG$5,'Leave Log'!$D$5:$D$304,"&gt;="&amp;AG$5,'Leave Log'!$F$5:$F$304,"&lt;&gt;Rejected",'Leave Log'!$B$5:$B$304,"OT")&gt;0,"OT",""))))))</f>
        <v/>
      </c>
    </row>
    <row r="16" customFormat="false" ht="15" hidden="false" customHeight="false" outlineLevel="0" collapsed="false">
      <c r="A16" s="3" t="str">
        <f aca="false">IF(Employees!B15="","",Employees!B15)</f>
        <v/>
      </c>
      <c r="B16" s="11" t="str">
        <f aca="false">IF(Employees!B15="","",Employees!C15)</f>
        <v/>
      </c>
      <c r="C16" s="12" t="str">
        <f aca="false">IF(OR(C$5="",$A16=""),"",IF(COUNTIFS('Leave Log'!$A$5:$A$304,$A16,'Leave Log'!$C$5:$C$304,"&lt;="&amp;C$5,'Leave Log'!$D$5:$D$304,"&gt;="&amp;C$5,'Leave Log'!$F$5:$F$304,"&lt;&gt;Rejected",'Leave Log'!$B$5:$B$304,"AL")&gt;0,"AL",IF(COUNTIFS('Leave Log'!$A$5:$A$304,$A16,'Leave Log'!$C$5:$C$304,"&lt;="&amp;C$5,'Leave Log'!$D$5:$D$304,"&gt;="&amp;C$5,'Leave Log'!$F$5:$F$304,"&lt;&gt;Rejected",'Leave Log'!$B$5:$B$304,"SL")&gt;0,"SL",IF(COUNTIFS('Leave Log'!$A$5:$A$304,$A16,'Leave Log'!$C$5:$C$304,"&lt;="&amp;C$5,'Leave Log'!$D$5:$D$304,"&gt;="&amp;C$5,'Leave Log'!$F$5:$F$304,"&lt;&gt;Rejected",'Leave Log'!$B$5:$B$304,"CL")&gt;0,"CL",IF(COUNTIFS('Leave Log'!$A$5:$A$304,$A16,'Leave Log'!$C$5:$C$304,"&lt;="&amp;C$5,'Leave Log'!$D$5:$D$304,"&gt;="&amp;C$5,'Leave Log'!$F$5:$F$304,"&lt;&gt;Rejected",'Leave Log'!$B$5:$B$304,"UL")&gt;0,"UL",IF(COUNTIFS('Leave Log'!$A$5:$A$304,$A16,'Leave Log'!$C$5:$C$304,"&lt;="&amp;C$5,'Leave Log'!$D$5:$D$304,"&gt;="&amp;C$5,'Leave Log'!$F$5:$F$304,"&lt;&gt;Rejected",'Leave Log'!$B$5:$B$304,"OT")&gt;0,"OT",""))))))</f>
        <v/>
      </c>
      <c r="D16" s="12" t="str">
        <f aca="false">IF(OR(D$5="",$A16=""),"",IF(COUNTIFS('Leave Log'!$A$5:$A$304,$A16,'Leave Log'!$C$5:$C$304,"&lt;="&amp;D$5,'Leave Log'!$D$5:$D$304,"&gt;="&amp;D$5,'Leave Log'!$F$5:$F$304,"&lt;&gt;Rejected",'Leave Log'!$B$5:$B$304,"AL")&gt;0,"AL",IF(COUNTIFS('Leave Log'!$A$5:$A$304,$A16,'Leave Log'!$C$5:$C$304,"&lt;="&amp;D$5,'Leave Log'!$D$5:$D$304,"&gt;="&amp;D$5,'Leave Log'!$F$5:$F$304,"&lt;&gt;Rejected",'Leave Log'!$B$5:$B$304,"SL")&gt;0,"SL",IF(COUNTIFS('Leave Log'!$A$5:$A$304,$A16,'Leave Log'!$C$5:$C$304,"&lt;="&amp;D$5,'Leave Log'!$D$5:$D$304,"&gt;="&amp;D$5,'Leave Log'!$F$5:$F$304,"&lt;&gt;Rejected",'Leave Log'!$B$5:$B$304,"CL")&gt;0,"CL",IF(COUNTIFS('Leave Log'!$A$5:$A$304,$A16,'Leave Log'!$C$5:$C$304,"&lt;="&amp;D$5,'Leave Log'!$D$5:$D$304,"&gt;="&amp;D$5,'Leave Log'!$F$5:$F$304,"&lt;&gt;Rejected",'Leave Log'!$B$5:$B$304,"UL")&gt;0,"UL",IF(COUNTIFS('Leave Log'!$A$5:$A$304,$A16,'Leave Log'!$C$5:$C$304,"&lt;="&amp;D$5,'Leave Log'!$D$5:$D$304,"&gt;="&amp;D$5,'Leave Log'!$F$5:$F$304,"&lt;&gt;Rejected",'Leave Log'!$B$5:$B$304,"OT")&gt;0,"OT",""))))))</f>
        <v/>
      </c>
      <c r="E16" s="12" t="str">
        <f aca="false">IF(OR(E$5="",$A16=""),"",IF(COUNTIFS('Leave Log'!$A$5:$A$304,$A16,'Leave Log'!$C$5:$C$304,"&lt;="&amp;E$5,'Leave Log'!$D$5:$D$304,"&gt;="&amp;E$5,'Leave Log'!$F$5:$F$304,"&lt;&gt;Rejected",'Leave Log'!$B$5:$B$304,"AL")&gt;0,"AL",IF(COUNTIFS('Leave Log'!$A$5:$A$304,$A16,'Leave Log'!$C$5:$C$304,"&lt;="&amp;E$5,'Leave Log'!$D$5:$D$304,"&gt;="&amp;E$5,'Leave Log'!$F$5:$F$304,"&lt;&gt;Rejected",'Leave Log'!$B$5:$B$304,"SL")&gt;0,"SL",IF(COUNTIFS('Leave Log'!$A$5:$A$304,$A16,'Leave Log'!$C$5:$C$304,"&lt;="&amp;E$5,'Leave Log'!$D$5:$D$304,"&gt;="&amp;E$5,'Leave Log'!$F$5:$F$304,"&lt;&gt;Rejected",'Leave Log'!$B$5:$B$304,"CL")&gt;0,"CL",IF(COUNTIFS('Leave Log'!$A$5:$A$304,$A16,'Leave Log'!$C$5:$C$304,"&lt;="&amp;E$5,'Leave Log'!$D$5:$D$304,"&gt;="&amp;E$5,'Leave Log'!$F$5:$F$304,"&lt;&gt;Rejected",'Leave Log'!$B$5:$B$304,"UL")&gt;0,"UL",IF(COUNTIFS('Leave Log'!$A$5:$A$304,$A16,'Leave Log'!$C$5:$C$304,"&lt;="&amp;E$5,'Leave Log'!$D$5:$D$304,"&gt;="&amp;E$5,'Leave Log'!$F$5:$F$304,"&lt;&gt;Rejected",'Leave Log'!$B$5:$B$304,"OT")&gt;0,"OT",""))))))</f>
        <v/>
      </c>
      <c r="F16" s="12" t="str">
        <f aca="false">IF(OR(F$5="",$A16=""),"",IF(COUNTIFS('Leave Log'!$A$5:$A$304,$A16,'Leave Log'!$C$5:$C$304,"&lt;="&amp;F$5,'Leave Log'!$D$5:$D$304,"&gt;="&amp;F$5,'Leave Log'!$F$5:$F$304,"&lt;&gt;Rejected",'Leave Log'!$B$5:$B$304,"AL")&gt;0,"AL",IF(COUNTIFS('Leave Log'!$A$5:$A$304,$A16,'Leave Log'!$C$5:$C$304,"&lt;="&amp;F$5,'Leave Log'!$D$5:$D$304,"&gt;="&amp;F$5,'Leave Log'!$F$5:$F$304,"&lt;&gt;Rejected",'Leave Log'!$B$5:$B$304,"SL")&gt;0,"SL",IF(COUNTIFS('Leave Log'!$A$5:$A$304,$A16,'Leave Log'!$C$5:$C$304,"&lt;="&amp;F$5,'Leave Log'!$D$5:$D$304,"&gt;="&amp;F$5,'Leave Log'!$F$5:$F$304,"&lt;&gt;Rejected",'Leave Log'!$B$5:$B$304,"CL")&gt;0,"CL",IF(COUNTIFS('Leave Log'!$A$5:$A$304,$A16,'Leave Log'!$C$5:$C$304,"&lt;="&amp;F$5,'Leave Log'!$D$5:$D$304,"&gt;="&amp;F$5,'Leave Log'!$F$5:$F$304,"&lt;&gt;Rejected",'Leave Log'!$B$5:$B$304,"UL")&gt;0,"UL",IF(COUNTIFS('Leave Log'!$A$5:$A$304,$A16,'Leave Log'!$C$5:$C$304,"&lt;="&amp;F$5,'Leave Log'!$D$5:$D$304,"&gt;="&amp;F$5,'Leave Log'!$F$5:$F$304,"&lt;&gt;Rejected",'Leave Log'!$B$5:$B$304,"OT")&gt;0,"OT",""))))))</f>
        <v/>
      </c>
      <c r="G16" s="12" t="str">
        <f aca="false">IF(OR(G$5="",$A16=""),"",IF(COUNTIFS('Leave Log'!$A$5:$A$304,$A16,'Leave Log'!$C$5:$C$304,"&lt;="&amp;G$5,'Leave Log'!$D$5:$D$304,"&gt;="&amp;G$5,'Leave Log'!$F$5:$F$304,"&lt;&gt;Rejected",'Leave Log'!$B$5:$B$304,"AL")&gt;0,"AL",IF(COUNTIFS('Leave Log'!$A$5:$A$304,$A16,'Leave Log'!$C$5:$C$304,"&lt;="&amp;G$5,'Leave Log'!$D$5:$D$304,"&gt;="&amp;G$5,'Leave Log'!$F$5:$F$304,"&lt;&gt;Rejected",'Leave Log'!$B$5:$B$304,"SL")&gt;0,"SL",IF(COUNTIFS('Leave Log'!$A$5:$A$304,$A16,'Leave Log'!$C$5:$C$304,"&lt;="&amp;G$5,'Leave Log'!$D$5:$D$304,"&gt;="&amp;G$5,'Leave Log'!$F$5:$F$304,"&lt;&gt;Rejected",'Leave Log'!$B$5:$B$304,"CL")&gt;0,"CL",IF(COUNTIFS('Leave Log'!$A$5:$A$304,$A16,'Leave Log'!$C$5:$C$304,"&lt;="&amp;G$5,'Leave Log'!$D$5:$D$304,"&gt;="&amp;G$5,'Leave Log'!$F$5:$F$304,"&lt;&gt;Rejected",'Leave Log'!$B$5:$B$304,"UL")&gt;0,"UL",IF(COUNTIFS('Leave Log'!$A$5:$A$304,$A16,'Leave Log'!$C$5:$C$304,"&lt;="&amp;G$5,'Leave Log'!$D$5:$D$304,"&gt;="&amp;G$5,'Leave Log'!$F$5:$F$304,"&lt;&gt;Rejected",'Leave Log'!$B$5:$B$304,"OT")&gt;0,"OT",""))))))</f>
        <v/>
      </c>
      <c r="H16" s="12" t="str">
        <f aca="false">IF(OR(H$5="",$A16=""),"",IF(COUNTIFS('Leave Log'!$A$5:$A$304,$A16,'Leave Log'!$C$5:$C$304,"&lt;="&amp;H$5,'Leave Log'!$D$5:$D$304,"&gt;="&amp;H$5,'Leave Log'!$F$5:$F$304,"&lt;&gt;Rejected",'Leave Log'!$B$5:$B$304,"AL")&gt;0,"AL",IF(COUNTIFS('Leave Log'!$A$5:$A$304,$A16,'Leave Log'!$C$5:$C$304,"&lt;="&amp;H$5,'Leave Log'!$D$5:$D$304,"&gt;="&amp;H$5,'Leave Log'!$F$5:$F$304,"&lt;&gt;Rejected",'Leave Log'!$B$5:$B$304,"SL")&gt;0,"SL",IF(COUNTIFS('Leave Log'!$A$5:$A$304,$A16,'Leave Log'!$C$5:$C$304,"&lt;="&amp;H$5,'Leave Log'!$D$5:$D$304,"&gt;="&amp;H$5,'Leave Log'!$F$5:$F$304,"&lt;&gt;Rejected",'Leave Log'!$B$5:$B$304,"CL")&gt;0,"CL",IF(COUNTIFS('Leave Log'!$A$5:$A$304,$A16,'Leave Log'!$C$5:$C$304,"&lt;="&amp;H$5,'Leave Log'!$D$5:$D$304,"&gt;="&amp;H$5,'Leave Log'!$F$5:$F$304,"&lt;&gt;Rejected",'Leave Log'!$B$5:$B$304,"UL")&gt;0,"UL",IF(COUNTIFS('Leave Log'!$A$5:$A$304,$A16,'Leave Log'!$C$5:$C$304,"&lt;="&amp;H$5,'Leave Log'!$D$5:$D$304,"&gt;="&amp;H$5,'Leave Log'!$F$5:$F$304,"&lt;&gt;Rejected",'Leave Log'!$B$5:$B$304,"OT")&gt;0,"OT",""))))))</f>
        <v/>
      </c>
      <c r="I16" s="12" t="str">
        <f aca="false">IF(OR(I$5="",$A16=""),"",IF(COUNTIFS('Leave Log'!$A$5:$A$304,$A16,'Leave Log'!$C$5:$C$304,"&lt;="&amp;I$5,'Leave Log'!$D$5:$D$304,"&gt;="&amp;I$5,'Leave Log'!$F$5:$F$304,"&lt;&gt;Rejected",'Leave Log'!$B$5:$B$304,"AL")&gt;0,"AL",IF(COUNTIFS('Leave Log'!$A$5:$A$304,$A16,'Leave Log'!$C$5:$C$304,"&lt;="&amp;I$5,'Leave Log'!$D$5:$D$304,"&gt;="&amp;I$5,'Leave Log'!$F$5:$F$304,"&lt;&gt;Rejected",'Leave Log'!$B$5:$B$304,"SL")&gt;0,"SL",IF(COUNTIFS('Leave Log'!$A$5:$A$304,$A16,'Leave Log'!$C$5:$C$304,"&lt;="&amp;I$5,'Leave Log'!$D$5:$D$304,"&gt;="&amp;I$5,'Leave Log'!$F$5:$F$304,"&lt;&gt;Rejected",'Leave Log'!$B$5:$B$304,"CL")&gt;0,"CL",IF(COUNTIFS('Leave Log'!$A$5:$A$304,$A16,'Leave Log'!$C$5:$C$304,"&lt;="&amp;I$5,'Leave Log'!$D$5:$D$304,"&gt;="&amp;I$5,'Leave Log'!$F$5:$F$304,"&lt;&gt;Rejected",'Leave Log'!$B$5:$B$304,"UL")&gt;0,"UL",IF(COUNTIFS('Leave Log'!$A$5:$A$304,$A16,'Leave Log'!$C$5:$C$304,"&lt;="&amp;I$5,'Leave Log'!$D$5:$D$304,"&gt;="&amp;I$5,'Leave Log'!$F$5:$F$304,"&lt;&gt;Rejected",'Leave Log'!$B$5:$B$304,"OT")&gt;0,"OT",""))))))</f>
        <v/>
      </c>
      <c r="J16" s="12" t="str">
        <f aca="false">IF(OR(J$5="",$A16=""),"",IF(COUNTIFS('Leave Log'!$A$5:$A$304,$A16,'Leave Log'!$C$5:$C$304,"&lt;="&amp;J$5,'Leave Log'!$D$5:$D$304,"&gt;="&amp;J$5,'Leave Log'!$F$5:$F$304,"&lt;&gt;Rejected",'Leave Log'!$B$5:$B$304,"AL")&gt;0,"AL",IF(COUNTIFS('Leave Log'!$A$5:$A$304,$A16,'Leave Log'!$C$5:$C$304,"&lt;="&amp;J$5,'Leave Log'!$D$5:$D$304,"&gt;="&amp;J$5,'Leave Log'!$F$5:$F$304,"&lt;&gt;Rejected",'Leave Log'!$B$5:$B$304,"SL")&gt;0,"SL",IF(COUNTIFS('Leave Log'!$A$5:$A$304,$A16,'Leave Log'!$C$5:$C$304,"&lt;="&amp;J$5,'Leave Log'!$D$5:$D$304,"&gt;="&amp;J$5,'Leave Log'!$F$5:$F$304,"&lt;&gt;Rejected",'Leave Log'!$B$5:$B$304,"CL")&gt;0,"CL",IF(COUNTIFS('Leave Log'!$A$5:$A$304,$A16,'Leave Log'!$C$5:$C$304,"&lt;="&amp;J$5,'Leave Log'!$D$5:$D$304,"&gt;="&amp;J$5,'Leave Log'!$F$5:$F$304,"&lt;&gt;Rejected",'Leave Log'!$B$5:$B$304,"UL")&gt;0,"UL",IF(COUNTIFS('Leave Log'!$A$5:$A$304,$A16,'Leave Log'!$C$5:$C$304,"&lt;="&amp;J$5,'Leave Log'!$D$5:$D$304,"&gt;="&amp;J$5,'Leave Log'!$F$5:$F$304,"&lt;&gt;Rejected",'Leave Log'!$B$5:$B$304,"OT")&gt;0,"OT",""))))))</f>
        <v/>
      </c>
      <c r="K16" s="12" t="str">
        <f aca="false">IF(OR(K$5="",$A16=""),"",IF(COUNTIFS('Leave Log'!$A$5:$A$304,$A16,'Leave Log'!$C$5:$C$304,"&lt;="&amp;K$5,'Leave Log'!$D$5:$D$304,"&gt;="&amp;K$5,'Leave Log'!$F$5:$F$304,"&lt;&gt;Rejected",'Leave Log'!$B$5:$B$304,"AL")&gt;0,"AL",IF(COUNTIFS('Leave Log'!$A$5:$A$304,$A16,'Leave Log'!$C$5:$C$304,"&lt;="&amp;K$5,'Leave Log'!$D$5:$D$304,"&gt;="&amp;K$5,'Leave Log'!$F$5:$F$304,"&lt;&gt;Rejected",'Leave Log'!$B$5:$B$304,"SL")&gt;0,"SL",IF(COUNTIFS('Leave Log'!$A$5:$A$304,$A16,'Leave Log'!$C$5:$C$304,"&lt;="&amp;K$5,'Leave Log'!$D$5:$D$304,"&gt;="&amp;K$5,'Leave Log'!$F$5:$F$304,"&lt;&gt;Rejected",'Leave Log'!$B$5:$B$304,"CL")&gt;0,"CL",IF(COUNTIFS('Leave Log'!$A$5:$A$304,$A16,'Leave Log'!$C$5:$C$304,"&lt;="&amp;K$5,'Leave Log'!$D$5:$D$304,"&gt;="&amp;K$5,'Leave Log'!$F$5:$F$304,"&lt;&gt;Rejected",'Leave Log'!$B$5:$B$304,"UL")&gt;0,"UL",IF(COUNTIFS('Leave Log'!$A$5:$A$304,$A16,'Leave Log'!$C$5:$C$304,"&lt;="&amp;K$5,'Leave Log'!$D$5:$D$304,"&gt;="&amp;K$5,'Leave Log'!$F$5:$F$304,"&lt;&gt;Rejected",'Leave Log'!$B$5:$B$304,"OT")&gt;0,"OT",""))))))</f>
        <v/>
      </c>
      <c r="L16" s="12" t="str">
        <f aca="false">IF(OR(L$5="",$A16=""),"",IF(COUNTIFS('Leave Log'!$A$5:$A$304,$A16,'Leave Log'!$C$5:$C$304,"&lt;="&amp;L$5,'Leave Log'!$D$5:$D$304,"&gt;="&amp;L$5,'Leave Log'!$F$5:$F$304,"&lt;&gt;Rejected",'Leave Log'!$B$5:$B$304,"AL")&gt;0,"AL",IF(COUNTIFS('Leave Log'!$A$5:$A$304,$A16,'Leave Log'!$C$5:$C$304,"&lt;="&amp;L$5,'Leave Log'!$D$5:$D$304,"&gt;="&amp;L$5,'Leave Log'!$F$5:$F$304,"&lt;&gt;Rejected",'Leave Log'!$B$5:$B$304,"SL")&gt;0,"SL",IF(COUNTIFS('Leave Log'!$A$5:$A$304,$A16,'Leave Log'!$C$5:$C$304,"&lt;="&amp;L$5,'Leave Log'!$D$5:$D$304,"&gt;="&amp;L$5,'Leave Log'!$F$5:$F$304,"&lt;&gt;Rejected",'Leave Log'!$B$5:$B$304,"CL")&gt;0,"CL",IF(COUNTIFS('Leave Log'!$A$5:$A$304,$A16,'Leave Log'!$C$5:$C$304,"&lt;="&amp;L$5,'Leave Log'!$D$5:$D$304,"&gt;="&amp;L$5,'Leave Log'!$F$5:$F$304,"&lt;&gt;Rejected",'Leave Log'!$B$5:$B$304,"UL")&gt;0,"UL",IF(COUNTIFS('Leave Log'!$A$5:$A$304,$A16,'Leave Log'!$C$5:$C$304,"&lt;="&amp;L$5,'Leave Log'!$D$5:$D$304,"&gt;="&amp;L$5,'Leave Log'!$F$5:$F$304,"&lt;&gt;Rejected",'Leave Log'!$B$5:$B$304,"OT")&gt;0,"OT",""))))))</f>
        <v/>
      </c>
      <c r="M16" s="12" t="str">
        <f aca="false">IF(OR(M$5="",$A16=""),"",IF(COUNTIFS('Leave Log'!$A$5:$A$304,$A16,'Leave Log'!$C$5:$C$304,"&lt;="&amp;M$5,'Leave Log'!$D$5:$D$304,"&gt;="&amp;M$5,'Leave Log'!$F$5:$F$304,"&lt;&gt;Rejected",'Leave Log'!$B$5:$B$304,"AL")&gt;0,"AL",IF(COUNTIFS('Leave Log'!$A$5:$A$304,$A16,'Leave Log'!$C$5:$C$304,"&lt;="&amp;M$5,'Leave Log'!$D$5:$D$304,"&gt;="&amp;M$5,'Leave Log'!$F$5:$F$304,"&lt;&gt;Rejected",'Leave Log'!$B$5:$B$304,"SL")&gt;0,"SL",IF(COUNTIFS('Leave Log'!$A$5:$A$304,$A16,'Leave Log'!$C$5:$C$304,"&lt;="&amp;M$5,'Leave Log'!$D$5:$D$304,"&gt;="&amp;M$5,'Leave Log'!$F$5:$F$304,"&lt;&gt;Rejected",'Leave Log'!$B$5:$B$304,"CL")&gt;0,"CL",IF(COUNTIFS('Leave Log'!$A$5:$A$304,$A16,'Leave Log'!$C$5:$C$304,"&lt;="&amp;M$5,'Leave Log'!$D$5:$D$304,"&gt;="&amp;M$5,'Leave Log'!$F$5:$F$304,"&lt;&gt;Rejected",'Leave Log'!$B$5:$B$304,"UL")&gt;0,"UL",IF(COUNTIFS('Leave Log'!$A$5:$A$304,$A16,'Leave Log'!$C$5:$C$304,"&lt;="&amp;M$5,'Leave Log'!$D$5:$D$304,"&gt;="&amp;M$5,'Leave Log'!$F$5:$F$304,"&lt;&gt;Rejected",'Leave Log'!$B$5:$B$304,"OT")&gt;0,"OT",""))))))</f>
        <v/>
      </c>
      <c r="N16" s="12" t="str">
        <f aca="false">IF(OR(N$5="",$A16=""),"",IF(COUNTIFS('Leave Log'!$A$5:$A$304,$A16,'Leave Log'!$C$5:$C$304,"&lt;="&amp;N$5,'Leave Log'!$D$5:$D$304,"&gt;="&amp;N$5,'Leave Log'!$F$5:$F$304,"&lt;&gt;Rejected",'Leave Log'!$B$5:$B$304,"AL")&gt;0,"AL",IF(COUNTIFS('Leave Log'!$A$5:$A$304,$A16,'Leave Log'!$C$5:$C$304,"&lt;="&amp;N$5,'Leave Log'!$D$5:$D$304,"&gt;="&amp;N$5,'Leave Log'!$F$5:$F$304,"&lt;&gt;Rejected",'Leave Log'!$B$5:$B$304,"SL")&gt;0,"SL",IF(COUNTIFS('Leave Log'!$A$5:$A$304,$A16,'Leave Log'!$C$5:$C$304,"&lt;="&amp;N$5,'Leave Log'!$D$5:$D$304,"&gt;="&amp;N$5,'Leave Log'!$F$5:$F$304,"&lt;&gt;Rejected",'Leave Log'!$B$5:$B$304,"CL")&gt;0,"CL",IF(COUNTIFS('Leave Log'!$A$5:$A$304,$A16,'Leave Log'!$C$5:$C$304,"&lt;="&amp;N$5,'Leave Log'!$D$5:$D$304,"&gt;="&amp;N$5,'Leave Log'!$F$5:$F$304,"&lt;&gt;Rejected",'Leave Log'!$B$5:$B$304,"UL")&gt;0,"UL",IF(COUNTIFS('Leave Log'!$A$5:$A$304,$A16,'Leave Log'!$C$5:$C$304,"&lt;="&amp;N$5,'Leave Log'!$D$5:$D$304,"&gt;="&amp;N$5,'Leave Log'!$F$5:$F$304,"&lt;&gt;Rejected",'Leave Log'!$B$5:$B$304,"OT")&gt;0,"OT",""))))))</f>
        <v/>
      </c>
      <c r="O16" s="12" t="str">
        <f aca="false">IF(OR(O$5="",$A16=""),"",IF(COUNTIFS('Leave Log'!$A$5:$A$304,$A16,'Leave Log'!$C$5:$C$304,"&lt;="&amp;O$5,'Leave Log'!$D$5:$D$304,"&gt;="&amp;O$5,'Leave Log'!$F$5:$F$304,"&lt;&gt;Rejected",'Leave Log'!$B$5:$B$304,"AL")&gt;0,"AL",IF(COUNTIFS('Leave Log'!$A$5:$A$304,$A16,'Leave Log'!$C$5:$C$304,"&lt;="&amp;O$5,'Leave Log'!$D$5:$D$304,"&gt;="&amp;O$5,'Leave Log'!$F$5:$F$304,"&lt;&gt;Rejected",'Leave Log'!$B$5:$B$304,"SL")&gt;0,"SL",IF(COUNTIFS('Leave Log'!$A$5:$A$304,$A16,'Leave Log'!$C$5:$C$304,"&lt;="&amp;O$5,'Leave Log'!$D$5:$D$304,"&gt;="&amp;O$5,'Leave Log'!$F$5:$F$304,"&lt;&gt;Rejected",'Leave Log'!$B$5:$B$304,"CL")&gt;0,"CL",IF(COUNTIFS('Leave Log'!$A$5:$A$304,$A16,'Leave Log'!$C$5:$C$304,"&lt;="&amp;O$5,'Leave Log'!$D$5:$D$304,"&gt;="&amp;O$5,'Leave Log'!$F$5:$F$304,"&lt;&gt;Rejected",'Leave Log'!$B$5:$B$304,"UL")&gt;0,"UL",IF(COUNTIFS('Leave Log'!$A$5:$A$304,$A16,'Leave Log'!$C$5:$C$304,"&lt;="&amp;O$5,'Leave Log'!$D$5:$D$304,"&gt;="&amp;O$5,'Leave Log'!$F$5:$F$304,"&lt;&gt;Rejected",'Leave Log'!$B$5:$B$304,"OT")&gt;0,"OT",""))))))</f>
        <v/>
      </c>
      <c r="P16" s="12" t="str">
        <f aca="false">IF(OR(P$5="",$A16=""),"",IF(COUNTIFS('Leave Log'!$A$5:$A$304,$A16,'Leave Log'!$C$5:$C$304,"&lt;="&amp;P$5,'Leave Log'!$D$5:$D$304,"&gt;="&amp;P$5,'Leave Log'!$F$5:$F$304,"&lt;&gt;Rejected",'Leave Log'!$B$5:$B$304,"AL")&gt;0,"AL",IF(COUNTIFS('Leave Log'!$A$5:$A$304,$A16,'Leave Log'!$C$5:$C$304,"&lt;="&amp;P$5,'Leave Log'!$D$5:$D$304,"&gt;="&amp;P$5,'Leave Log'!$F$5:$F$304,"&lt;&gt;Rejected",'Leave Log'!$B$5:$B$304,"SL")&gt;0,"SL",IF(COUNTIFS('Leave Log'!$A$5:$A$304,$A16,'Leave Log'!$C$5:$C$304,"&lt;="&amp;P$5,'Leave Log'!$D$5:$D$304,"&gt;="&amp;P$5,'Leave Log'!$F$5:$F$304,"&lt;&gt;Rejected",'Leave Log'!$B$5:$B$304,"CL")&gt;0,"CL",IF(COUNTIFS('Leave Log'!$A$5:$A$304,$A16,'Leave Log'!$C$5:$C$304,"&lt;="&amp;P$5,'Leave Log'!$D$5:$D$304,"&gt;="&amp;P$5,'Leave Log'!$F$5:$F$304,"&lt;&gt;Rejected",'Leave Log'!$B$5:$B$304,"UL")&gt;0,"UL",IF(COUNTIFS('Leave Log'!$A$5:$A$304,$A16,'Leave Log'!$C$5:$C$304,"&lt;="&amp;P$5,'Leave Log'!$D$5:$D$304,"&gt;="&amp;P$5,'Leave Log'!$F$5:$F$304,"&lt;&gt;Rejected",'Leave Log'!$B$5:$B$304,"OT")&gt;0,"OT",""))))))</f>
        <v/>
      </c>
      <c r="Q16" s="12" t="str">
        <f aca="false">IF(OR(Q$5="",$A16=""),"",IF(COUNTIFS('Leave Log'!$A$5:$A$304,$A16,'Leave Log'!$C$5:$C$304,"&lt;="&amp;Q$5,'Leave Log'!$D$5:$D$304,"&gt;="&amp;Q$5,'Leave Log'!$F$5:$F$304,"&lt;&gt;Rejected",'Leave Log'!$B$5:$B$304,"AL")&gt;0,"AL",IF(COUNTIFS('Leave Log'!$A$5:$A$304,$A16,'Leave Log'!$C$5:$C$304,"&lt;="&amp;Q$5,'Leave Log'!$D$5:$D$304,"&gt;="&amp;Q$5,'Leave Log'!$F$5:$F$304,"&lt;&gt;Rejected",'Leave Log'!$B$5:$B$304,"SL")&gt;0,"SL",IF(COUNTIFS('Leave Log'!$A$5:$A$304,$A16,'Leave Log'!$C$5:$C$304,"&lt;="&amp;Q$5,'Leave Log'!$D$5:$D$304,"&gt;="&amp;Q$5,'Leave Log'!$F$5:$F$304,"&lt;&gt;Rejected",'Leave Log'!$B$5:$B$304,"CL")&gt;0,"CL",IF(COUNTIFS('Leave Log'!$A$5:$A$304,$A16,'Leave Log'!$C$5:$C$304,"&lt;="&amp;Q$5,'Leave Log'!$D$5:$D$304,"&gt;="&amp;Q$5,'Leave Log'!$F$5:$F$304,"&lt;&gt;Rejected",'Leave Log'!$B$5:$B$304,"UL")&gt;0,"UL",IF(COUNTIFS('Leave Log'!$A$5:$A$304,$A16,'Leave Log'!$C$5:$C$304,"&lt;="&amp;Q$5,'Leave Log'!$D$5:$D$304,"&gt;="&amp;Q$5,'Leave Log'!$F$5:$F$304,"&lt;&gt;Rejected",'Leave Log'!$B$5:$B$304,"OT")&gt;0,"OT",""))))))</f>
        <v/>
      </c>
      <c r="R16" s="12" t="str">
        <f aca="false">IF(OR(R$5="",$A16=""),"",IF(COUNTIFS('Leave Log'!$A$5:$A$304,$A16,'Leave Log'!$C$5:$C$304,"&lt;="&amp;R$5,'Leave Log'!$D$5:$D$304,"&gt;="&amp;R$5,'Leave Log'!$F$5:$F$304,"&lt;&gt;Rejected",'Leave Log'!$B$5:$B$304,"AL")&gt;0,"AL",IF(COUNTIFS('Leave Log'!$A$5:$A$304,$A16,'Leave Log'!$C$5:$C$304,"&lt;="&amp;R$5,'Leave Log'!$D$5:$D$304,"&gt;="&amp;R$5,'Leave Log'!$F$5:$F$304,"&lt;&gt;Rejected",'Leave Log'!$B$5:$B$304,"SL")&gt;0,"SL",IF(COUNTIFS('Leave Log'!$A$5:$A$304,$A16,'Leave Log'!$C$5:$C$304,"&lt;="&amp;R$5,'Leave Log'!$D$5:$D$304,"&gt;="&amp;R$5,'Leave Log'!$F$5:$F$304,"&lt;&gt;Rejected",'Leave Log'!$B$5:$B$304,"CL")&gt;0,"CL",IF(COUNTIFS('Leave Log'!$A$5:$A$304,$A16,'Leave Log'!$C$5:$C$304,"&lt;="&amp;R$5,'Leave Log'!$D$5:$D$304,"&gt;="&amp;R$5,'Leave Log'!$F$5:$F$304,"&lt;&gt;Rejected",'Leave Log'!$B$5:$B$304,"UL")&gt;0,"UL",IF(COUNTIFS('Leave Log'!$A$5:$A$304,$A16,'Leave Log'!$C$5:$C$304,"&lt;="&amp;R$5,'Leave Log'!$D$5:$D$304,"&gt;="&amp;R$5,'Leave Log'!$F$5:$F$304,"&lt;&gt;Rejected",'Leave Log'!$B$5:$B$304,"OT")&gt;0,"OT",""))))))</f>
        <v/>
      </c>
      <c r="S16" s="12" t="str">
        <f aca="false">IF(OR(S$5="",$A16=""),"",IF(COUNTIFS('Leave Log'!$A$5:$A$304,$A16,'Leave Log'!$C$5:$C$304,"&lt;="&amp;S$5,'Leave Log'!$D$5:$D$304,"&gt;="&amp;S$5,'Leave Log'!$F$5:$F$304,"&lt;&gt;Rejected",'Leave Log'!$B$5:$B$304,"AL")&gt;0,"AL",IF(COUNTIFS('Leave Log'!$A$5:$A$304,$A16,'Leave Log'!$C$5:$C$304,"&lt;="&amp;S$5,'Leave Log'!$D$5:$D$304,"&gt;="&amp;S$5,'Leave Log'!$F$5:$F$304,"&lt;&gt;Rejected",'Leave Log'!$B$5:$B$304,"SL")&gt;0,"SL",IF(COUNTIFS('Leave Log'!$A$5:$A$304,$A16,'Leave Log'!$C$5:$C$304,"&lt;="&amp;S$5,'Leave Log'!$D$5:$D$304,"&gt;="&amp;S$5,'Leave Log'!$F$5:$F$304,"&lt;&gt;Rejected",'Leave Log'!$B$5:$B$304,"CL")&gt;0,"CL",IF(COUNTIFS('Leave Log'!$A$5:$A$304,$A16,'Leave Log'!$C$5:$C$304,"&lt;="&amp;S$5,'Leave Log'!$D$5:$D$304,"&gt;="&amp;S$5,'Leave Log'!$F$5:$F$304,"&lt;&gt;Rejected",'Leave Log'!$B$5:$B$304,"UL")&gt;0,"UL",IF(COUNTIFS('Leave Log'!$A$5:$A$304,$A16,'Leave Log'!$C$5:$C$304,"&lt;="&amp;S$5,'Leave Log'!$D$5:$D$304,"&gt;="&amp;S$5,'Leave Log'!$F$5:$F$304,"&lt;&gt;Rejected",'Leave Log'!$B$5:$B$304,"OT")&gt;0,"OT",""))))))</f>
        <v/>
      </c>
      <c r="T16" s="12" t="str">
        <f aca="false">IF(OR(T$5="",$A16=""),"",IF(COUNTIFS('Leave Log'!$A$5:$A$304,$A16,'Leave Log'!$C$5:$C$304,"&lt;="&amp;T$5,'Leave Log'!$D$5:$D$304,"&gt;="&amp;T$5,'Leave Log'!$F$5:$F$304,"&lt;&gt;Rejected",'Leave Log'!$B$5:$B$304,"AL")&gt;0,"AL",IF(COUNTIFS('Leave Log'!$A$5:$A$304,$A16,'Leave Log'!$C$5:$C$304,"&lt;="&amp;T$5,'Leave Log'!$D$5:$D$304,"&gt;="&amp;T$5,'Leave Log'!$F$5:$F$304,"&lt;&gt;Rejected",'Leave Log'!$B$5:$B$304,"SL")&gt;0,"SL",IF(COUNTIFS('Leave Log'!$A$5:$A$304,$A16,'Leave Log'!$C$5:$C$304,"&lt;="&amp;T$5,'Leave Log'!$D$5:$D$304,"&gt;="&amp;T$5,'Leave Log'!$F$5:$F$304,"&lt;&gt;Rejected",'Leave Log'!$B$5:$B$304,"CL")&gt;0,"CL",IF(COUNTIFS('Leave Log'!$A$5:$A$304,$A16,'Leave Log'!$C$5:$C$304,"&lt;="&amp;T$5,'Leave Log'!$D$5:$D$304,"&gt;="&amp;T$5,'Leave Log'!$F$5:$F$304,"&lt;&gt;Rejected",'Leave Log'!$B$5:$B$304,"UL")&gt;0,"UL",IF(COUNTIFS('Leave Log'!$A$5:$A$304,$A16,'Leave Log'!$C$5:$C$304,"&lt;="&amp;T$5,'Leave Log'!$D$5:$D$304,"&gt;="&amp;T$5,'Leave Log'!$F$5:$F$304,"&lt;&gt;Rejected",'Leave Log'!$B$5:$B$304,"OT")&gt;0,"OT",""))))))</f>
        <v/>
      </c>
      <c r="U16" s="12" t="str">
        <f aca="false">IF(OR(U$5="",$A16=""),"",IF(COUNTIFS('Leave Log'!$A$5:$A$304,$A16,'Leave Log'!$C$5:$C$304,"&lt;="&amp;U$5,'Leave Log'!$D$5:$D$304,"&gt;="&amp;U$5,'Leave Log'!$F$5:$F$304,"&lt;&gt;Rejected",'Leave Log'!$B$5:$B$304,"AL")&gt;0,"AL",IF(COUNTIFS('Leave Log'!$A$5:$A$304,$A16,'Leave Log'!$C$5:$C$304,"&lt;="&amp;U$5,'Leave Log'!$D$5:$D$304,"&gt;="&amp;U$5,'Leave Log'!$F$5:$F$304,"&lt;&gt;Rejected",'Leave Log'!$B$5:$B$304,"SL")&gt;0,"SL",IF(COUNTIFS('Leave Log'!$A$5:$A$304,$A16,'Leave Log'!$C$5:$C$304,"&lt;="&amp;U$5,'Leave Log'!$D$5:$D$304,"&gt;="&amp;U$5,'Leave Log'!$F$5:$F$304,"&lt;&gt;Rejected",'Leave Log'!$B$5:$B$304,"CL")&gt;0,"CL",IF(COUNTIFS('Leave Log'!$A$5:$A$304,$A16,'Leave Log'!$C$5:$C$304,"&lt;="&amp;U$5,'Leave Log'!$D$5:$D$304,"&gt;="&amp;U$5,'Leave Log'!$F$5:$F$304,"&lt;&gt;Rejected",'Leave Log'!$B$5:$B$304,"UL")&gt;0,"UL",IF(COUNTIFS('Leave Log'!$A$5:$A$304,$A16,'Leave Log'!$C$5:$C$304,"&lt;="&amp;U$5,'Leave Log'!$D$5:$D$304,"&gt;="&amp;U$5,'Leave Log'!$F$5:$F$304,"&lt;&gt;Rejected",'Leave Log'!$B$5:$B$304,"OT")&gt;0,"OT",""))))))</f>
        <v/>
      </c>
      <c r="V16" s="12" t="str">
        <f aca="false">IF(OR(V$5="",$A16=""),"",IF(COUNTIFS('Leave Log'!$A$5:$A$304,$A16,'Leave Log'!$C$5:$C$304,"&lt;="&amp;V$5,'Leave Log'!$D$5:$D$304,"&gt;="&amp;V$5,'Leave Log'!$F$5:$F$304,"&lt;&gt;Rejected",'Leave Log'!$B$5:$B$304,"AL")&gt;0,"AL",IF(COUNTIFS('Leave Log'!$A$5:$A$304,$A16,'Leave Log'!$C$5:$C$304,"&lt;="&amp;V$5,'Leave Log'!$D$5:$D$304,"&gt;="&amp;V$5,'Leave Log'!$F$5:$F$304,"&lt;&gt;Rejected",'Leave Log'!$B$5:$B$304,"SL")&gt;0,"SL",IF(COUNTIFS('Leave Log'!$A$5:$A$304,$A16,'Leave Log'!$C$5:$C$304,"&lt;="&amp;V$5,'Leave Log'!$D$5:$D$304,"&gt;="&amp;V$5,'Leave Log'!$F$5:$F$304,"&lt;&gt;Rejected",'Leave Log'!$B$5:$B$304,"CL")&gt;0,"CL",IF(COUNTIFS('Leave Log'!$A$5:$A$304,$A16,'Leave Log'!$C$5:$C$304,"&lt;="&amp;V$5,'Leave Log'!$D$5:$D$304,"&gt;="&amp;V$5,'Leave Log'!$F$5:$F$304,"&lt;&gt;Rejected",'Leave Log'!$B$5:$B$304,"UL")&gt;0,"UL",IF(COUNTIFS('Leave Log'!$A$5:$A$304,$A16,'Leave Log'!$C$5:$C$304,"&lt;="&amp;V$5,'Leave Log'!$D$5:$D$304,"&gt;="&amp;V$5,'Leave Log'!$F$5:$F$304,"&lt;&gt;Rejected",'Leave Log'!$B$5:$B$304,"OT")&gt;0,"OT",""))))))</f>
        <v/>
      </c>
      <c r="W16" s="12" t="str">
        <f aca="false">IF(OR(W$5="",$A16=""),"",IF(COUNTIFS('Leave Log'!$A$5:$A$304,$A16,'Leave Log'!$C$5:$C$304,"&lt;="&amp;W$5,'Leave Log'!$D$5:$D$304,"&gt;="&amp;W$5,'Leave Log'!$F$5:$F$304,"&lt;&gt;Rejected",'Leave Log'!$B$5:$B$304,"AL")&gt;0,"AL",IF(COUNTIFS('Leave Log'!$A$5:$A$304,$A16,'Leave Log'!$C$5:$C$304,"&lt;="&amp;W$5,'Leave Log'!$D$5:$D$304,"&gt;="&amp;W$5,'Leave Log'!$F$5:$F$304,"&lt;&gt;Rejected",'Leave Log'!$B$5:$B$304,"SL")&gt;0,"SL",IF(COUNTIFS('Leave Log'!$A$5:$A$304,$A16,'Leave Log'!$C$5:$C$304,"&lt;="&amp;W$5,'Leave Log'!$D$5:$D$304,"&gt;="&amp;W$5,'Leave Log'!$F$5:$F$304,"&lt;&gt;Rejected",'Leave Log'!$B$5:$B$304,"CL")&gt;0,"CL",IF(COUNTIFS('Leave Log'!$A$5:$A$304,$A16,'Leave Log'!$C$5:$C$304,"&lt;="&amp;W$5,'Leave Log'!$D$5:$D$304,"&gt;="&amp;W$5,'Leave Log'!$F$5:$F$304,"&lt;&gt;Rejected",'Leave Log'!$B$5:$B$304,"UL")&gt;0,"UL",IF(COUNTIFS('Leave Log'!$A$5:$A$304,$A16,'Leave Log'!$C$5:$C$304,"&lt;="&amp;W$5,'Leave Log'!$D$5:$D$304,"&gt;="&amp;W$5,'Leave Log'!$F$5:$F$304,"&lt;&gt;Rejected",'Leave Log'!$B$5:$B$304,"OT")&gt;0,"OT",""))))))</f>
        <v/>
      </c>
      <c r="X16" s="12" t="str">
        <f aca="false">IF(OR(X$5="",$A16=""),"",IF(COUNTIFS('Leave Log'!$A$5:$A$304,$A16,'Leave Log'!$C$5:$C$304,"&lt;="&amp;X$5,'Leave Log'!$D$5:$D$304,"&gt;="&amp;X$5,'Leave Log'!$F$5:$F$304,"&lt;&gt;Rejected",'Leave Log'!$B$5:$B$304,"AL")&gt;0,"AL",IF(COUNTIFS('Leave Log'!$A$5:$A$304,$A16,'Leave Log'!$C$5:$C$304,"&lt;="&amp;X$5,'Leave Log'!$D$5:$D$304,"&gt;="&amp;X$5,'Leave Log'!$F$5:$F$304,"&lt;&gt;Rejected",'Leave Log'!$B$5:$B$304,"SL")&gt;0,"SL",IF(COUNTIFS('Leave Log'!$A$5:$A$304,$A16,'Leave Log'!$C$5:$C$304,"&lt;="&amp;X$5,'Leave Log'!$D$5:$D$304,"&gt;="&amp;X$5,'Leave Log'!$F$5:$F$304,"&lt;&gt;Rejected",'Leave Log'!$B$5:$B$304,"CL")&gt;0,"CL",IF(COUNTIFS('Leave Log'!$A$5:$A$304,$A16,'Leave Log'!$C$5:$C$304,"&lt;="&amp;X$5,'Leave Log'!$D$5:$D$304,"&gt;="&amp;X$5,'Leave Log'!$F$5:$F$304,"&lt;&gt;Rejected",'Leave Log'!$B$5:$B$304,"UL")&gt;0,"UL",IF(COUNTIFS('Leave Log'!$A$5:$A$304,$A16,'Leave Log'!$C$5:$C$304,"&lt;="&amp;X$5,'Leave Log'!$D$5:$D$304,"&gt;="&amp;X$5,'Leave Log'!$F$5:$F$304,"&lt;&gt;Rejected",'Leave Log'!$B$5:$B$304,"OT")&gt;0,"OT",""))))))</f>
        <v/>
      </c>
      <c r="Y16" s="12" t="str">
        <f aca="false">IF(OR(Y$5="",$A16=""),"",IF(COUNTIFS('Leave Log'!$A$5:$A$304,$A16,'Leave Log'!$C$5:$C$304,"&lt;="&amp;Y$5,'Leave Log'!$D$5:$D$304,"&gt;="&amp;Y$5,'Leave Log'!$F$5:$F$304,"&lt;&gt;Rejected",'Leave Log'!$B$5:$B$304,"AL")&gt;0,"AL",IF(COUNTIFS('Leave Log'!$A$5:$A$304,$A16,'Leave Log'!$C$5:$C$304,"&lt;="&amp;Y$5,'Leave Log'!$D$5:$D$304,"&gt;="&amp;Y$5,'Leave Log'!$F$5:$F$304,"&lt;&gt;Rejected",'Leave Log'!$B$5:$B$304,"SL")&gt;0,"SL",IF(COUNTIFS('Leave Log'!$A$5:$A$304,$A16,'Leave Log'!$C$5:$C$304,"&lt;="&amp;Y$5,'Leave Log'!$D$5:$D$304,"&gt;="&amp;Y$5,'Leave Log'!$F$5:$F$304,"&lt;&gt;Rejected",'Leave Log'!$B$5:$B$304,"CL")&gt;0,"CL",IF(COUNTIFS('Leave Log'!$A$5:$A$304,$A16,'Leave Log'!$C$5:$C$304,"&lt;="&amp;Y$5,'Leave Log'!$D$5:$D$304,"&gt;="&amp;Y$5,'Leave Log'!$F$5:$F$304,"&lt;&gt;Rejected",'Leave Log'!$B$5:$B$304,"UL")&gt;0,"UL",IF(COUNTIFS('Leave Log'!$A$5:$A$304,$A16,'Leave Log'!$C$5:$C$304,"&lt;="&amp;Y$5,'Leave Log'!$D$5:$D$304,"&gt;="&amp;Y$5,'Leave Log'!$F$5:$F$304,"&lt;&gt;Rejected",'Leave Log'!$B$5:$B$304,"OT")&gt;0,"OT",""))))))</f>
        <v/>
      </c>
      <c r="Z16" s="12" t="str">
        <f aca="false">IF(OR(Z$5="",$A16=""),"",IF(COUNTIFS('Leave Log'!$A$5:$A$304,$A16,'Leave Log'!$C$5:$C$304,"&lt;="&amp;Z$5,'Leave Log'!$D$5:$D$304,"&gt;="&amp;Z$5,'Leave Log'!$F$5:$F$304,"&lt;&gt;Rejected",'Leave Log'!$B$5:$B$304,"AL")&gt;0,"AL",IF(COUNTIFS('Leave Log'!$A$5:$A$304,$A16,'Leave Log'!$C$5:$C$304,"&lt;="&amp;Z$5,'Leave Log'!$D$5:$D$304,"&gt;="&amp;Z$5,'Leave Log'!$F$5:$F$304,"&lt;&gt;Rejected",'Leave Log'!$B$5:$B$304,"SL")&gt;0,"SL",IF(COUNTIFS('Leave Log'!$A$5:$A$304,$A16,'Leave Log'!$C$5:$C$304,"&lt;="&amp;Z$5,'Leave Log'!$D$5:$D$304,"&gt;="&amp;Z$5,'Leave Log'!$F$5:$F$304,"&lt;&gt;Rejected",'Leave Log'!$B$5:$B$304,"CL")&gt;0,"CL",IF(COUNTIFS('Leave Log'!$A$5:$A$304,$A16,'Leave Log'!$C$5:$C$304,"&lt;="&amp;Z$5,'Leave Log'!$D$5:$D$304,"&gt;="&amp;Z$5,'Leave Log'!$F$5:$F$304,"&lt;&gt;Rejected",'Leave Log'!$B$5:$B$304,"UL")&gt;0,"UL",IF(COUNTIFS('Leave Log'!$A$5:$A$304,$A16,'Leave Log'!$C$5:$C$304,"&lt;="&amp;Z$5,'Leave Log'!$D$5:$D$304,"&gt;="&amp;Z$5,'Leave Log'!$F$5:$F$304,"&lt;&gt;Rejected",'Leave Log'!$B$5:$B$304,"OT")&gt;0,"OT",""))))))</f>
        <v/>
      </c>
      <c r="AA16" s="12" t="str">
        <f aca="false">IF(OR(AA$5="",$A16=""),"",IF(COUNTIFS('Leave Log'!$A$5:$A$304,$A16,'Leave Log'!$C$5:$C$304,"&lt;="&amp;AA$5,'Leave Log'!$D$5:$D$304,"&gt;="&amp;AA$5,'Leave Log'!$F$5:$F$304,"&lt;&gt;Rejected",'Leave Log'!$B$5:$B$304,"AL")&gt;0,"AL",IF(COUNTIFS('Leave Log'!$A$5:$A$304,$A16,'Leave Log'!$C$5:$C$304,"&lt;="&amp;AA$5,'Leave Log'!$D$5:$D$304,"&gt;="&amp;AA$5,'Leave Log'!$F$5:$F$304,"&lt;&gt;Rejected",'Leave Log'!$B$5:$B$304,"SL")&gt;0,"SL",IF(COUNTIFS('Leave Log'!$A$5:$A$304,$A16,'Leave Log'!$C$5:$C$304,"&lt;="&amp;AA$5,'Leave Log'!$D$5:$D$304,"&gt;="&amp;AA$5,'Leave Log'!$F$5:$F$304,"&lt;&gt;Rejected",'Leave Log'!$B$5:$B$304,"CL")&gt;0,"CL",IF(COUNTIFS('Leave Log'!$A$5:$A$304,$A16,'Leave Log'!$C$5:$C$304,"&lt;="&amp;AA$5,'Leave Log'!$D$5:$D$304,"&gt;="&amp;AA$5,'Leave Log'!$F$5:$F$304,"&lt;&gt;Rejected",'Leave Log'!$B$5:$B$304,"UL")&gt;0,"UL",IF(COUNTIFS('Leave Log'!$A$5:$A$304,$A16,'Leave Log'!$C$5:$C$304,"&lt;="&amp;AA$5,'Leave Log'!$D$5:$D$304,"&gt;="&amp;AA$5,'Leave Log'!$F$5:$F$304,"&lt;&gt;Rejected",'Leave Log'!$B$5:$B$304,"OT")&gt;0,"OT",""))))))</f>
        <v/>
      </c>
      <c r="AB16" s="12" t="str">
        <f aca="false">IF(OR(AB$5="",$A16=""),"",IF(COUNTIFS('Leave Log'!$A$5:$A$304,$A16,'Leave Log'!$C$5:$C$304,"&lt;="&amp;AB$5,'Leave Log'!$D$5:$D$304,"&gt;="&amp;AB$5,'Leave Log'!$F$5:$F$304,"&lt;&gt;Rejected",'Leave Log'!$B$5:$B$304,"AL")&gt;0,"AL",IF(COUNTIFS('Leave Log'!$A$5:$A$304,$A16,'Leave Log'!$C$5:$C$304,"&lt;="&amp;AB$5,'Leave Log'!$D$5:$D$304,"&gt;="&amp;AB$5,'Leave Log'!$F$5:$F$304,"&lt;&gt;Rejected",'Leave Log'!$B$5:$B$304,"SL")&gt;0,"SL",IF(COUNTIFS('Leave Log'!$A$5:$A$304,$A16,'Leave Log'!$C$5:$C$304,"&lt;="&amp;AB$5,'Leave Log'!$D$5:$D$304,"&gt;="&amp;AB$5,'Leave Log'!$F$5:$F$304,"&lt;&gt;Rejected",'Leave Log'!$B$5:$B$304,"CL")&gt;0,"CL",IF(COUNTIFS('Leave Log'!$A$5:$A$304,$A16,'Leave Log'!$C$5:$C$304,"&lt;="&amp;AB$5,'Leave Log'!$D$5:$D$304,"&gt;="&amp;AB$5,'Leave Log'!$F$5:$F$304,"&lt;&gt;Rejected",'Leave Log'!$B$5:$B$304,"UL")&gt;0,"UL",IF(COUNTIFS('Leave Log'!$A$5:$A$304,$A16,'Leave Log'!$C$5:$C$304,"&lt;="&amp;AB$5,'Leave Log'!$D$5:$D$304,"&gt;="&amp;AB$5,'Leave Log'!$F$5:$F$304,"&lt;&gt;Rejected",'Leave Log'!$B$5:$B$304,"OT")&gt;0,"OT",""))))))</f>
        <v/>
      </c>
      <c r="AC16" s="12" t="str">
        <f aca="false">IF(OR(AC$5="",$A16=""),"",IF(COUNTIFS('Leave Log'!$A$5:$A$304,$A16,'Leave Log'!$C$5:$C$304,"&lt;="&amp;AC$5,'Leave Log'!$D$5:$D$304,"&gt;="&amp;AC$5,'Leave Log'!$F$5:$F$304,"&lt;&gt;Rejected",'Leave Log'!$B$5:$B$304,"AL")&gt;0,"AL",IF(COUNTIFS('Leave Log'!$A$5:$A$304,$A16,'Leave Log'!$C$5:$C$304,"&lt;="&amp;AC$5,'Leave Log'!$D$5:$D$304,"&gt;="&amp;AC$5,'Leave Log'!$F$5:$F$304,"&lt;&gt;Rejected",'Leave Log'!$B$5:$B$304,"SL")&gt;0,"SL",IF(COUNTIFS('Leave Log'!$A$5:$A$304,$A16,'Leave Log'!$C$5:$C$304,"&lt;="&amp;AC$5,'Leave Log'!$D$5:$D$304,"&gt;="&amp;AC$5,'Leave Log'!$F$5:$F$304,"&lt;&gt;Rejected",'Leave Log'!$B$5:$B$304,"CL")&gt;0,"CL",IF(COUNTIFS('Leave Log'!$A$5:$A$304,$A16,'Leave Log'!$C$5:$C$304,"&lt;="&amp;AC$5,'Leave Log'!$D$5:$D$304,"&gt;="&amp;AC$5,'Leave Log'!$F$5:$F$304,"&lt;&gt;Rejected",'Leave Log'!$B$5:$B$304,"UL")&gt;0,"UL",IF(COUNTIFS('Leave Log'!$A$5:$A$304,$A16,'Leave Log'!$C$5:$C$304,"&lt;="&amp;AC$5,'Leave Log'!$D$5:$D$304,"&gt;="&amp;AC$5,'Leave Log'!$F$5:$F$304,"&lt;&gt;Rejected",'Leave Log'!$B$5:$B$304,"OT")&gt;0,"OT",""))))))</f>
        <v/>
      </c>
      <c r="AD16" s="12" t="str">
        <f aca="false">IF(OR(AD$5="",$A16=""),"",IF(COUNTIFS('Leave Log'!$A$5:$A$304,$A16,'Leave Log'!$C$5:$C$304,"&lt;="&amp;AD$5,'Leave Log'!$D$5:$D$304,"&gt;="&amp;AD$5,'Leave Log'!$F$5:$F$304,"&lt;&gt;Rejected",'Leave Log'!$B$5:$B$304,"AL")&gt;0,"AL",IF(COUNTIFS('Leave Log'!$A$5:$A$304,$A16,'Leave Log'!$C$5:$C$304,"&lt;="&amp;AD$5,'Leave Log'!$D$5:$D$304,"&gt;="&amp;AD$5,'Leave Log'!$F$5:$F$304,"&lt;&gt;Rejected",'Leave Log'!$B$5:$B$304,"SL")&gt;0,"SL",IF(COUNTIFS('Leave Log'!$A$5:$A$304,$A16,'Leave Log'!$C$5:$C$304,"&lt;="&amp;AD$5,'Leave Log'!$D$5:$D$304,"&gt;="&amp;AD$5,'Leave Log'!$F$5:$F$304,"&lt;&gt;Rejected",'Leave Log'!$B$5:$B$304,"CL")&gt;0,"CL",IF(COUNTIFS('Leave Log'!$A$5:$A$304,$A16,'Leave Log'!$C$5:$C$304,"&lt;="&amp;AD$5,'Leave Log'!$D$5:$D$304,"&gt;="&amp;AD$5,'Leave Log'!$F$5:$F$304,"&lt;&gt;Rejected",'Leave Log'!$B$5:$B$304,"UL")&gt;0,"UL",IF(COUNTIFS('Leave Log'!$A$5:$A$304,$A16,'Leave Log'!$C$5:$C$304,"&lt;="&amp;AD$5,'Leave Log'!$D$5:$D$304,"&gt;="&amp;AD$5,'Leave Log'!$F$5:$F$304,"&lt;&gt;Rejected",'Leave Log'!$B$5:$B$304,"OT")&gt;0,"OT",""))))))</f>
        <v/>
      </c>
      <c r="AE16" s="12" t="str">
        <f aca="false">IF(OR(AE$5="",$A16=""),"",IF(COUNTIFS('Leave Log'!$A$5:$A$304,$A16,'Leave Log'!$C$5:$C$304,"&lt;="&amp;AE$5,'Leave Log'!$D$5:$D$304,"&gt;="&amp;AE$5,'Leave Log'!$F$5:$F$304,"&lt;&gt;Rejected",'Leave Log'!$B$5:$B$304,"AL")&gt;0,"AL",IF(COUNTIFS('Leave Log'!$A$5:$A$304,$A16,'Leave Log'!$C$5:$C$304,"&lt;="&amp;AE$5,'Leave Log'!$D$5:$D$304,"&gt;="&amp;AE$5,'Leave Log'!$F$5:$F$304,"&lt;&gt;Rejected",'Leave Log'!$B$5:$B$304,"SL")&gt;0,"SL",IF(COUNTIFS('Leave Log'!$A$5:$A$304,$A16,'Leave Log'!$C$5:$C$304,"&lt;="&amp;AE$5,'Leave Log'!$D$5:$D$304,"&gt;="&amp;AE$5,'Leave Log'!$F$5:$F$304,"&lt;&gt;Rejected",'Leave Log'!$B$5:$B$304,"CL")&gt;0,"CL",IF(COUNTIFS('Leave Log'!$A$5:$A$304,$A16,'Leave Log'!$C$5:$C$304,"&lt;="&amp;AE$5,'Leave Log'!$D$5:$D$304,"&gt;="&amp;AE$5,'Leave Log'!$F$5:$F$304,"&lt;&gt;Rejected",'Leave Log'!$B$5:$B$304,"UL")&gt;0,"UL",IF(COUNTIFS('Leave Log'!$A$5:$A$304,$A16,'Leave Log'!$C$5:$C$304,"&lt;="&amp;AE$5,'Leave Log'!$D$5:$D$304,"&gt;="&amp;AE$5,'Leave Log'!$F$5:$F$304,"&lt;&gt;Rejected",'Leave Log'!$B$5:$B$304,"OT")&gt;0,"OT",""))))))</f>
        <v/>
      </c>
      <c r="AF16" s="12" t="str">
        <f aca="false">IF(OR(AF$5="",$A16=""),"",IF(COUNTIFS('Leave Log'!$A$5:$A$304,$A16,'Leave Log'!$C$5:$C$304,"&lt;="&amp;AF$5,'Leave Log'!$D$5:$D$304,"&gt;="&amp;AF$5,'Leave Log'!$F$5:$F$304,"&lt;&gt;Rejected",'Leave Log'!$B$5:$B$304,"AL")&gt;0,"AL",IF(COUNTIFS('Leave Log'!$A$5:$A$304,$A16,'Leave Log'!$C$5:$C$304,"&lt;="&amp;AF$5,'Leave Log'!$D$5:$D$304,"&gt;="&amp;AF$5,'Leave Log'!$F$5:$F$304,"&lt;&gt;Rejected",'Leave Log'!$B$5:$B$304,"SL")&gt;0,"SL",IF(COUNTIFS('Leave Log'!$A$5:$A$304,$A16,'Leave Log'!$C$5:$C$304,"&lt;="&amp;AF$5,'Leave Log'!$D$5:$D$304,"&gt;="&amp;AF$5,'Leave Log'!$F$5:$F$304,"&lt;&gt;Rejected",'Leave Log'!$B$5:$B$304,"CL")&gt;0,"CL",IF(COUNTIFS('Leave Log'!$A$5:$A$304,$A16,'Leave Log'!$C$5:$C$304,"&lt;="&amp;AF$5,'Leave Log'!$D$5:$D$304,"&gt;="&amp;AF$5,'Leave Log'!$F$5:$F$304,"&lt;&gt;Rejected",'Leave Log'!$B$5:$B$304,"UL")&gt;0,"UL",IF(COUNTIFS('Leave Log'!$A$5:$A$304,$A16,'Leave Log'!$C$5:$C$304,"&lt;="&amp;AF$5,'Leave Log'!$D$5:$D$304,"&gt;="&amp;AF$5,'Leave Log'!$F$5:$F$304,"&lt;&gt;Rejected",'Leave Log'!$B$5:$B$304,"OT")&gt;0,"OT",""))))))</f>
        <v/>
      </c>
      <c r="AG16" s="12" t="str">
        <f aca="false">IF(OR(AG$5="",$A16=""),"",IF(COUNTIFS('Leave Log'!$A$5:$A$304,$A16,'Leave Log'!$C$5:$C$304,"&lt;="&amp;AG$5,'Leave Log'!$D$5:$D$304,"&gt;="&amp;AG$5,'Leave Log'!$F$5:$F$304,"&lt;&gt;Rejected",'Leave Log'!$B$5:$B$304,"AL")&gt;0,"AL",IF(COUNTIFS('Leave Log'!$A$5:$A$304,$A16,'Leave Log'!$C$5:$C$304,"&lt;="&amp;AG$5,'Leave Log'!$D$5:$D$304,"&gt;="&amp;AG$5,'Leave Log'!$F$5:$F$304,"&lt;&gt;Rejected",'Leave Log'!$B$5:$B$304,"SL")&gt;0,"SL",IF(COUNTIFS('Leave Log'!$A$5:$A$304,$A16,'Leave Log'!$C$5:$C$304,"&lt;="&amp;AG$5,'Leave Log'!$D$5:$D$304,"&gt;="&amp;AG$5,'Leave Log'!$F$5:$F$304,"&lt;&gt;Rejected",'Leave Log'!$B$5:$B$304,"CL")&gt;0,"CL",IF(COUNTIFS('Leave Log'!$A$5:$A$304,$A16,'Leave Log'!$C$5:$C$304,"&lt;="&amp;AG$5,'Leave Log'!$D$5:$D$304,"&gt;="&amp;AG$5,'Leave Log'!$F$5:$F$304,"&lt;&gt;Rejected",'Leave Log'!$B$5:$B$304,"UL")&gt;0,"UL",IF(COUNTIFS('Leave Log'!$A$5:$A$304,$A16,'Leave Log'!$C$5:$C$304,"&lt;="&amp;AG$5,'Leave Log'!$D$5:$D$304,"&gt;="&amp;AG$5,'Leave Log'!$F$5:$F$304,"&lt;&gt;Rejected",'Leave Log'!$B$5:$B$304,"OT")&gt;0,"OT",""))))))</f>
        <v/>
      </c>
    </row>
    <row r="17" customFormat="false" ht="15" hidden="false" customHeight="false" outlineLevel="0" collapsed="false">
      <c r="A17" s="3" t="str">
        <f aca="false">IF(Employees!B16="","",Employees!B16)</f>
        <v/>
      </c>
      <c r="B17" s="11" t="str">
        <f aca="false">IF(Employees!B16="","",Employees!C16)</f>
        <v/>
      </c>
      <c r="C17" s="12" t="str">
        <f aca="false">IF(OR(C$5="",$A17=""),"",IF(COUNTIFS('Leave Log'!$A$5:$A$304,$A17,'Leave Log'!$C$5:$C$304,"&lt;="&amp;C$5,'Leave Log'!$D$5:$D$304,"&gt;="&amp;C$5,'Leave Log'!$F$5:$F$304,"&lt;&gt;Rejected",'Leave Log'!$B$5:$B$304,"AL")&gt;0,"AL",IF(COUNTIFS('Leave Log'!$A$5:$A$304,$A17,'Leave Log'!$C$5:$C$304,"&lt;="&amp;C$5,'Leave Log'!$D$5:$D$304,"&gt;="&amp;C$5,'Leave Log'!$F$5:$F$304,"&lt;&gt;Rejected",'Leave Log'!$B$5:$B$304,"SL")&gt;0,"SL",IF(COUNTIFS('Leave Log'!$A$5:$A$304,$A17,'Leave Log'!$C$5:$C$304,"&lt;="&amp;C$5,'Leave Log'!$D$5:$D$304,"&gt;="&amp;C$5,'Leave Log'!$F$5:$F$304,"&lt;&gt;Rejected",'Leave Log'!$B$5:$B$304,"CL")&gt;0,"CL",IF(COUNTIFS('Leave Log'!$A$5:$A$304,$A17,'Leave Log'!$C$5:$C$304,"&lt;="&amp;C$5,'Leave Log'!$D$5:$D$304,"&gt;="&amp;C$5,'Leave Log'!$F$5:$F$304,"&lt;&gt;Rejected",'Leave Log'!$B$5:$B$304,"UL")&gt;0,"UL",IF(COUNTIFS('Leave Log'!$A$5:$A$304,$A17,'Leave Log'!$C$5:$C$304,"&lt;="&amp;C$5,'Leave Log'!$D$5:$D$304,"&gt;="&amp;C$5,'Leave Log'!$F$5:$F$304,"&lt;&gt;Rejected",'Leave Log'!$B$5:$B$304,"OT")&gt;0,"OT",""))))))</f>
        <v/>
      </c>
      <c r="D17" s="12" t="str">
        <f aca="false">IF(OR(D$5="",$A17=""),"",IF(COUNTIFS('Leave Log'!$A$5:$A$304,$A17,'Leave Log'!$C$5:$C$304,"&lt;="&amp;D$5,'Leave Log'!$D$5:$D$304,"&gt;="&amp;D$5,'Leave Log'!$F$5:$F$304,"&lt;&gt;Rejected",'Leave Log'!$B$5:$B$304,"AL")&gt;0,"AL",IF(COUNTIFS('Leave Log'!$A$5:$A$304,$A17,'Leave Log'!$C$5:$C$304,"&lt;="&amp;D$5,'Leave Log'!$D$5:$D$304,"&gt;="&amp;D$5,'Leave Log'!$F$5:$F$304,"&lt;&gt;Rejected",'Leave Log'!$B$5:$B$304,"SL")&gt;0,"SL",IF(COUNTIFS('Leave Log'!$A$5:$A$304,$A17,'Leave Log'!$C$5:$C$304,"&lt;="&amp;D$5,'Leave Log'!$D$5:$D$304,"&gt;="&amp;D$5,'Leave Log'!$F$5:$F$304,"&lt;&gt;Rejected",'Leave Log'!$B$5:$B$304,"CL")&gt;0,"CL",IF(COUNTIFS('Leave Log'!$A$5:$A$304,$A17,'Leave Log'!$C$5:$C$304,"&lt;="&amp;D$5,'Leave Log'!$D$5:$D$304,"&gt;="&amp;D$5,'Leave Log'!$F$5:$F$304,"&lt;&gt;Rejected",'Leave Log'!$B$5:$B$304,"UL")&gt;0,"UL",IF(COUNTIFS('Leave Log'!$A$5:$A$304,$A17,'Leave Log'!$C$5:$C$304,"&lt;="&amp;D$5,'Leave Log'!$D$5:$D$304,"&gt;="&amp;D$5,'Leave Log'!$F$5:$F$304,"&lt;&gt;Rejected",'Leave Log'!$B$5:$B$304,"OT")&gt;0,"OT",""))))))</f>
        <v/>
      </c>
      <c r="E17" s="12" t="str">
        <f aca="false">IF(OR(E$5="",$A17=""),"",IF(COUNTIFS('Leave Log'!$A$5:$A$304,$A17,'Leave Log'!$C$5:$C$304,"&lt;="&amp;E$5,'Leave Log'!$D$5:$D$304,"&gt;="&amp;E$5,'Leave Log'!$F$5:$F$304,"&lt;&gt;Rejected",'Leave Log'!$B$5:$B$304,"AL")&gt;0,"AL",IF(COUNTIFS('Leave Log'!$A$5:$A$304,$A17,'Leave Log'!$C$5:$C$304,"&lt;="&amp;E$5,'Leave Log'!$D$5:$D$304,"&gt;="&amp;E$5,'Leave Log'!$F$5:$F$304,"&lt;&gt;Rejected",'Leave Log'!$B$5:$B$304,"SL")&gt;0,"SL",IF(COUNTIFS('Leave Log'!$A$5:$A$304,$A17,'Leave Log'!$C$5:$C$304,"&lt;="&amp;E$5,'Leave Log'!$D$5:$D$304,"&gt;="&amp;E$5,'Leave Log'!$F$5:$F$304,"&lt;&gt;Rejected",'Leave Log'!$B$5:$B$304,"CL")&gt;0,"CL",IF(COUNTIFS('Leave Log'!$A$5:$A$304,$A17,'Leave Log'!$C$5:$C$304,"&lt;="&amp;E$5,'Leave Log'!$D$5:$D$304,"&gt;="&amp;E$5,'Leave Log'!$F$5:$F$304,"&lt;&gt;Rejected",'Leave Log'!$B$5:$B$304,"UL")&gt;0,"UL",IF(COUNTIFS('Leave Log'!$A$5:$A$304,$A17,'Leave Log'!$C$5:$C$304,"&lt;="&amp;E$5,'Leave Log'!$D$5:$D$304,"&gt;="&amp;E$5,'Leave Log'!$F$5:$F$304,"&lt;&gt;Rejected",'Leave Log'!$B$5:$B$304,"OT")&gt;0,"OT",""))))))</f>
        <v/>
      </c>
      <c r="F17" s="12" t="str">
        <f aca="false">IF(OR(F$5="",$A17=""),"",IF(COUNTIFS('Leave Log'!$A$5:$A$304,$A17,'Leave Log'!$C$5:$C$304,"&lt;="&amp;F$5,'Leave Log'!$D$5:$D$304,"&gt;="&amp;F$5,'Leave Log'!$F$5:$F$304,"&lt;&gt;Rejected",'Leave Log'!$B$5:$B$304,"AL")&gt;0,"AL",IF(COUNTIFS('Leave Log'!$A$5:$A$304,$A17,'Leave Log'!$C$5:$C$304,"&lt;="&amp;F$5,'Leave Log'!$D$5:$D$304,"&gt;="&amp;F$5,'Leave Log'!$F$5:$F$304,"&lt;&gt;Rejected",'Leave Log'!$B$5:$B$304,"SL")&gt;0,"SL",IF(COUNTIFS('Leave Log'!$A$5:$A$304,$A17,'Leave Log'!$C$5:$C$304,"&lt;="&amp;F$5,'Leave Log'!$D$5:$D$304,"&gt;="&amp;F$5,'Leave Log'!$F$5:$F$304,"&lt;&gt;Rejected",'Leave Log'!$B$5:$B$304,"CL")&gt;0,"CL",IF(COUNTIFS('Leave Log'!$A$5:$A$304,$A17,'Leave Log'!$C$5:$C$304,"&lt;="&amp;F$5,'Leave Log'!$D$5:$D$304,"&gt;="&amp;F$5,'Leave Log'!$F$5:$F$304,"&lt;&gt;Rejected",'Leave Log'!$B$5:$B$304,"UL")&gt;0,"UL",IF(COUNTIFS('Leave Log'!$A$5:$A$304,$A17,'Leave Log'!$C$5:$C$304,"&lt;="&amp;F$5,'Leave Log'!$D$5:$D$304,"&gt;="&amp;F$5,'Leave Log'!$F$5:$F$304,"&lt;&gt;Rejected",'Leave Log'!$B$5:$B$304,"OT")&gt;0,"OT",""))))))</f>
        <v/>
      </c>
      <c r="G17" s="12" t="str">
        <f aca="false">IF(OR(G$5="",$A17=""),"",IF(COUNTIFS('Leave Log'!$A$5:$A$304,$A17,'Leave Log'!$C$5:$C$304,"&lt;="&amp;G$5,'Leave Log'!$D$5:$D$304,"&gt;="&amp;G$5,'Leave Log'!$F$5:$F$304,"&lt;&gt;Rejected",'Leave Log'!$B$5:$B$304,"AL")&gt;0,"AL",IF(COUNTIFS('Leave Log'!$A$5:$A$304,$A17,'Leave Log'!$C$5:$C$304,"&lt;="&amp;G$5,'Leave Log'!$D$5:$D$304,"&gt;="&amp;G$5,'Leave Log'!$F$5:$F$304,"&lt;&gt;Rejected",'Leave Log'!$B$5:$B$304,"SL")&gt;0,"SL",IF(COUNTIFS('Leave Log'!$A$5:$A$304,$A17,'Leave Log'!$C$5:$C$304,"&lt;="&amp;G$5,'Leave Log'!$D$5:$D$304,"&gt;="&amp;G$5,'Leave Log'!$F$5:$F$304,"&lt;&gt;Rejected",'Leave Log'!$B$5:$B$304,"CL")&gt;0,"CL",IF(COUNTIFS('Leave Log'!$A$5:$A$304,$A17,'Leave Log'!$C$5:$C$304,"&lt;="&amp;G$5,'Leave Log'!$D$5:$D$304,"&gt;="&amp;G$5,'Leave Log'!$F$5:$F$304,"&lt;&gt;Rejected",'Leave Log'!$B$5:$B$304,"UL")&gt;0,"UL",IF(COUNTIFS('Leave Log'!$A$5:$A$304,$A17,'Leave Log'!$C$5:$C$304,"&lt;="&amp;G$5,'Leave Log'!$D$5:$D$304,"&gt;="&amp;G$5,'Leave Log'!$F$5:$F$304,"&lt;&gt;Rejected",'Leave Log'!$B$5:$B$304,"OT")&gt;0,"OT",""))))))</f>
        <v/>
      </c>
      <c r="H17" s="12" t="str">
        <f aca="false">IF(OR(H$5="",$A17=""),"",IF(COUNTIFS('Leave Log'!$A$5:$A$304,$A17,'Leave Log'!$C$5:$C$304,"&lt;="&amp;H$5,'Leave Log'!$D$5:$D$304,"&gt;="&amp;H$5,'Leave Log'!$F$5:$F$304,"&lt;&gt;Rejected",'Leave Log'!$B$5:$B$304,"AL")&gt;0,"AL",IF(COUNTIFS('Leave Log'!$A$5:$A$304,$A17,'Leave Log'!$C$5:$C$304,"&lt;="&amp;H$5,'Leave Log'!$D$5:$D$304,"&gt;="&amp;H$5,'Leave Log'!$F$5:$F$304,"&lt;&gt;Rejected",'Leave Log'!$B$5:$B$304,"SL")&gt;0,"SL",IF(COUNTIFS('Leave Log'!$A$5:$A$304,$A17,'Leave Log'!$C$5:$C$304,"&lt;="&amp;H$5,'Leave Log'!$D$5:$D$304,"&gt;="&amp;H$5,'Leave Log'!$F$5:$F$304,"&lt;&gt;Rejected",'Leave Log'!$B$5:$B$304,"CL")&gt;0,"CL",IF(COUNTIFS('Leave Log'!$A$5:$A$304,$A17,'Leave Log'!$C$5:$C$304,"&lt;="&amp;H$5,'Leave Log'!$D$5:$D$304,"&gt;="&amp;H$5,'Leave Log'!$F$5:$F$304,"&lt;&gt;Rejected",'Leave Log'!$B$5:$B$304,"UL")&gt;0,"UL",IF(COUNTIFS('Leave Log'!$A$5:$A$304,$A17,'Leave Log'!$C$5:$C$304,"&lt;="&amp;H$5,'Leave Log'!$D$5:$D$304,"&gt;="&amp;H$5,'Leave Log'!$F$5:$F$304,"&lt;&gt;Rejected",'Leave Log'!$B$5:$B$304,"OT")&gt;0,"OT",""))))))</f>
        <v/>
      </c>
      <c r="I17" s="12" t="str">
        <f aca="false">IF(OR(I$5="",$A17=""),"",IF(COUNTIFS('Leave Log'!$A$5:$A$304,$A17,'Leave Log'!$C$5:$C$304,"&lt;="&amp;I$5,'Leave Log'!$D$5:$D$304,"&gt;="&amp;I$5,'Leave Log'!$F$5:$F$304,"&lt;&gt;Rejected",'Leave Log'!$B$5:$B$304,"AL")&gt;0,"AL",IF(COUNTIFS('Leave Log'!$A$5:$A$304,$A17,'Leave Log'!$C$5:$C$304,"&lt;="&amp;I$5,'Leave Log'!$D$5:$D$304,"&gt;="&amp;I$5,'Leave Log'!$F$5:$F$304,"&lt;&gt;Rejected",'Leave Log'!$B$5:$B$304,"SL")&gt;0,"SL",IF(COUNTIFS('Leave Log'!$A$5:$A$304,$A17,'Leave Log'!$C$5:$C$304,"&lt;="&amp;I$5,'Leave Log'!$D$5:$D$304,"&gt;="&amp;I$5,'Leave Log'!$F$5:$F$304,"&lt;&gt;Rejected",'Leave Log'!$B$5:$B$304,"CL")&gt;0,"CL",IF(COUNTIFS('Leave Log'!$A$5:$A$304,$A17,'Leave Log'!$C$5:$C$304,"&lt;="&amp;I$5,'Leave Log'!$D$5:$D$304,"&gt;="&amp;I$5,'Leave Log'!$F$5:$F$304,"&lt;&gt;Rejected",'Leave Log'!$B$5:$B$304,"UL")&gt;0,"UL",IF(COUNTIFS('Leave Log'!$A$5:$A$304,$A17,'Leave Log'!$C$5:$C$304,"&lt;="&amp;I$5,'Leave Log'!$D$5:$D$304,"&gt;="&amp;I$5,'Leave Log'!$F$5:$F$304,"&lt;&gt;Rejected",'Leave Log'!$B$5:$B$304,"OT")&gt;0,"OT",""))))))</f>
        <v/>
      </c>
      <c r="J17" s="12" t="str">
        <f aca="false">IF(OR(J$5="",$A17=""),"",IF(COUNTIFS('Leave Log'!$A$5:$A$304,$A17,'Leave Log'!$C$5:$C$304,"&lt;="&amp;J$5,'Leave Log'!$D$5:$D$304,"&gt;="&amp;J$5,'Leave Log'!$F$5:$F$304,"&lt;&gt;Rejected",'Leave Log'!$B$5:$B$304,"AL")&gt;0,"AL",IF(COUNTIFS('Leave Log'!$A$5:$A$304,$A17,'Leave Log'!$C$5:$C$304,"&lt;="&amp;J$5,'Leave Log'!$D$5:$D$304,"&gt;="&amp;J$5,'Leave Log'!$F$5:$F$304,"&lt;&gt;Rejected",'Leave Log'!$B$5:$B$304,"SL")&gt;0,"SL",IF(COUNTIFS('Leave Log'!$A$5:$A$304,$A17,'Leave Log'!$C$5:$C$304,"&lt;="&amp;J$5,'Leave Log'!$D$5:$D$304,"&gt;="&amp;J$5,'Leave Log'!$F$5:$F$304,"&lt;&gt;Rejected",'Leave Log'!$B$5:$B$304,"CL")&gt;0,"CL",IF(COUNTIFS('Leave Log'!$A$5:$A$304,$A17,'Leave Log'!$C$5:$C$304,"&lt;="&amp;J$5,'Leave Log'!$D$5:$D$304,"&gt;="&amp;J$5,'Leave Log'!$F$5:$F$304,"&lt;&gt;Rejected",'Leave Log'!$B$5:$B$304,"UL")&gt;0,"UL",IF(COUNTIFS('Leave Log'!$A$5:$A$304,$A17,'Leave Log'!$C$5:$C$304,"&lt;="&amp;J$5,'Leave Log'!$D$5:$D$304,"&gt;="&amp;J$5,'Leave Log'!$F$5:$F$304,"&lt;&gt;Rejected",'Leave Log'!$B$5:$B$304,"OT")&gt;0,"OT",""))))))</f>
        <v/>
      </c>
      <c r="K17" s="12" t="str">
        <f aca="false">IF(OR(K$5="",$A17=""),"",IF(COUNTIFS('Leave Log'!$A$5:$A$304,$A17,'Leave Log'!$C$5:$C$304,"&lt;="&amp;K$5,'Leave Log'!$D$5:$D$304,"&gt;="&amp;K$5,'Leave Log'!$F$5:$F$304,"&lt;&gt;Rejected",'Leave Log'!$B$5:$B$304,"AL")&gt;0,"AL",IF(COUNTIFS('Leave Log'!$A$5:$A$304,$A17,'Leave Log'!$C$5:$C$304,"&lt;="&amp;K$5,'Leave Log'!$D$5:$D$304,"&gt;="&amp;K$5,'Leave Log'!$F$5:$F$304,"&lt;&gt;Rejected",'Leave Log'!$B$5:$B$304,"SL")&gt;0,"SL",IF(COUNTIFS('Leave Log'!$A$5:$A$304,$A17,'Leave Log'!$C$5:$C$304,"&lt;="&amp;K$5,'Leave Log'!$D$5:$D$304,"&gt;="&amp;K$5,'Leave Log'!$F$5:$F$304,"&lt;&gt;Rejected",'Leave Log'!$B$5:$B$304,"CL")&gt;0,"CL",IF(COUNTIFS('Leave Log'!$A$5:$A$304,$A17,'Leave Log'!$C$5:$C$304,"&lt;="&amp;K$5,'Leave Log'!$D$5:$D$304,"&gt;="&amp;K$5,'Leave Log'!$F$5:$F$304,"&lt;&gt;Rejected",'Leave Log'!$B$5:$B$304,"UL")&gt;0,"UL",IF(COUNTIFS('Leave Log'!$A$5:$A$304,$A17,'Leave Log'!$C$5:$C$304,"&lt;="&amp;K$5,'Leave Log'!$D$5:$D$304,"&gt;="&amp;K$5,'Leave Log'!$F$5:$F$304,"&lt;&gt;Rejected",'Leave Log'!$B$5:$B$304,"OT")&gt;0,"OT",""))))))</f>
        <v/>
      </c>
      <c r="L17" s="12" t="str">
        <f aca="false">IF(OR(L$5="",$A17=""),"",IF(COUNTIFS('Leave Log'!$A$5:$A$304,$A17,'Leave Log'!$C$5:$C$304,"&lt;="&amp;L$5,'Leave Log'!$D$5:$D$304,"&gt;="&amp;L$5,'Leave Log'!$F$5:$F$304,"&lt;&gt;Rejected",'Leave Log'!$B$5:$B$304,"AL")&gt;0,"AL",IF(COUNTIFS('Leave Log'!$A$5:$A$304,$A17,'Leave Log'!$C$5:$C$304,"&lt;="&amp;L$5,'Leave Log'!$D$5:$D$304,"&gt;="&amp;L$5,'Leave Log'!$F$5:$F$304,"&lt;&gt;Rejected",'Leave Log'!$B$5:$B$304,"SL")&gt;0,"SL",IF(COUNTIFS('Leave Log'!$A$5:$A$304,$A17,'Leave Log'!$C$5:$C$304,"&lt;="&amp;L$5,'Leave Log'!$D$5:$D$304,"&gt;="&amp;L$5,'Leave Log'!$F$5:$F$304,"&lt;&gt;Rejected",'Leave Log'!$B$5:$B$304,"CL")&gt;0,"CL",IF(COUNTIFS('Leave Log'!$A$5:$A$304,$A17,'Leave Log'!$C$5:$C$304,"&lt;="&amp;L$5,'Leave Log'!$D$5:$D$304,"&gt;="&amp;L$5,'Leave Log'!$F$5:$F$304,"&lt;&gt;Rejected",'Leave Log'!$B$5:$B$304,"UL")&gt;0,"UL",IF(COUNTIFS('Leave Log'!$A$5:$A$304,$A17,'Leave Log'!$C$5:$C$304,"&lt;="&amp;L$5,'Leave Log'!$D$5:$D$304,"&gt;="&amp;L$5,'Leave Log'!$F$5:$F$304,"&lt;&gt;Rejected",'Leave Log'!$B$5:$B$304,"OT")&gt;0,"OT",""))))))</f>
        <v/>
      </c>
      <c r="M17" s="12" t="str">
        <f aca="false">IF(OR(M$5="",$A17=""),"",IF(COUNTIFS('Leave Log'!$A$5:$A$304,$A17,'Leave Log'!$C$5:$C$304,"&lt;="&amp;M$5,'Leave Log'!$D$5:$D$304,"&gt;="&amp;M$5,'Leave Log'!$F$5:$F$304,"&lt;&gt;Rejected",'Leave Log'!$B$5:$B$304,"AL")&gt;0,"AL",IF(COUNTIFS('Leave Log'!$A$5:$A$304,$A17,'Leave Log'!$C$5:$C$304,"&lt;="&amp;M$5,'Leave Log'!$D$5:$D$304,"&gt;="&amp;M$5,'Leave Log'!$F$5:$F$304,"&lt;&gt;Rejected",'Leave Log'!$B$5:$B$304,"SL")&gt;0,"SL",IF(COUNTIFS('Leave Log'!$A$5:$A$304,$A17,'Leave Log'!$C$5:$C$304,"&lt;="&amp;M$5,'Leave Log'!$D$5:$D$304,"&gt;="&amp;M$5,'Leave Log'!$F$5:$F$304,"&lt;&gt;Rejected",'Leave Log'!$B$5:$B$304,"CL")&gt;0,"CL",IF(COUNTIFS('Leave Log'!$A$5:$A$304,$A17,'Leave Log'!$C$5:$C$304,"&lt;="&amp;M$5,'Leave Log'!$D$5:$D$304,"&gt;="&amp;M$5,'Leave Log'!$F$5:$F$304,"&lt;&gt;Rejected",'Leave Log'!$B$5:$B$304,"UL")&gt;0,"UL",IF(COUNTIFS('Leave Log'!$A$5:$A$304,$A17,'Leave Log'!$C$5:$C$304,"&lt;="&amp;M$5,'Leave Log'!$D$5:$D$304,"&gt;="&amp;M$5,'Leave Log'!$F$5:$F$304,"&lt;&gt;Rejected",'Leave Log'!$B$5:$B$304,"OT")&gt;0,"OT",""))))))</f>
        <v/>
      </c>
      <c r="N17" s="12" t="str">
        <f aca="false">IF(OR(N$5="",$A17=""),"",IF(COUNTIFS('Leave Log'!$A$5:$A$304,$A17,'Leave Log'!$C$5:$C$304,"&lt;="&amp;N$5,'Leave Log'!$D$5:$D$304,"&gt;="&amp;N$5,'Leave Log'!$F$5:$F$304,"&lt;&gt;Rejected",'Leave Log'!$B$5:$B$304,"AL")&gt;0,"AL",IF(COUNTIFS('Leave Log'!$A$5:$A$304,$A17,'Leave Log'!$C$5:$C$304,"&lt;="&amp;N$5,'Leave Log'!$D$5:$D$304,"&gt;="&amp;N$5,'Leave Log'!$F$5:$F$304,"&lt;&gt;Rejected",'Leave Log'!$B$5:$B$304,"SL")&gt;0,"SL",IF(COUNTIFS('Leave Log'!$A$5:$A$304,$A17,'Leave Log'!$C$5:$C$304,"&lt;="&amp;N$5,'Leave Log'!$D$5:$D$304,"&gt;="&amp;N$5,'Leave Log'!$F$5:$F$304,"&lt;&gt;Rejected",'Leave Log'!$B$5:$B$304,"CL")&gt;0,"CL",IF(COUNTIFS('Leave Log'!$A$5:$A$304,$A17,'Leave Log'!$C$5:$C$304,"&lt;="&amp;N$5,'Leave Log'!$D$5:$D$304,"&gt;="&amp;N$5,'Leave Log'!$F$5:$F$304,"&lt;&gt;Rejected",'Leave Log'!$B$5:$B$304,"UL")&gt;0,"UL",IF(COUNTIFS('Leave Log'!$A$5:$A$304,$A17,'Leave Log'!$C$5:$C$304,"&lt;="&amp;N$5,'Leave Log'!$D$5:$D$304,"&gt;="&amp;N$5,'Leave Log'!$F$5:$F$304,"&lt;&gt;Rejected",'Leave Log'!$B$5:$B$304,"OT")&gt;0,"OT",""))))))</f>
        <v/>
      </c>
      <c r="O17" s="12" t="str">
        <f aca="false">IF(OR(O$5="",$A17=""),"",IF(COUNTIFS('Leave Log'!$A$5:$A$304,$A17,'Leave Log'!$C$5:$C$304,"&lt;="&amp;O$5,'Leave Log'!$D$5:$D$304,"&gt;="&amp;O$5,'Leave Log'!$F$5:$F$304,"&lt;&gt;Rejected",'Leave Log'!$B$5:$B$304,"AL")&gt;0,"AL",IF(COUNTIFS('Leave Log'!$A$5:$A$304,$A17,'Leave Log'!$C$5:$C$304,"&lt;="&amp;O$5,'Leave Log'!$D$5:$D$304,"&gt;="&amp;O$5,'Leave Log'!$F$5:$F$304,"&lt;&gt;Rejected",'Leave Log'!$B$5:$B$304,"SL")&gt;0,"SL",IF(COUNTIFS('Leave Log'!$A$5:$A$304,$A17,'Leave Log'!$C$5:$C$304,"&lt;="&amp;O$5,'Leave Log'!$D$5:$D$304,"&gt;="&amp;O$5,'Leave Log'!$F$5:$F$304,"&lt;&gt;Rejected",'Leave Log'!$B$5:$B$304,"CL")&gt;0,"CL",IF(COUNTIFS('Leave Log'!$A$5:$A$304,$A17,'Leave Log'!$C$5:$C$304,"&lt;="&amp;O$5,'Leave Log'!$D$5:$D$304,"&gt;="&amp;O$5,'Leave Log'!$F$5:$F$304,"&lt;&gt;Rejected",'Leave Log'!$B$5:$B$304,"UL")&gt;0,"UL",IF(COUNTIFS('Leave Log'!$A$5:$A$304,$A17,'Leave Log'!$C$5:$C$304,"&lt;="&amp;O$5,'Leave Log'!$D$5:$D$304,"&gt;="&amp;O$5,'Leave Log'!$F$5:$F$304,"&lt;&gt;Rejected",'Leave Log'!$B$5:$B$304,"OT")&gt;0,"OT",""))))))</f>
        <v/>
      </c>
      <c r="P17" s="12" t="str">
        <f aca="false">IF(OR(P$5="",$A17=""),"",IF(COUNTIFS('Leave Log'!$A$5:$A$304,$A17,'Leave Log'!$C$5:$C$304,"&lt;="&amp;P$5,'Leave Log'!$D$5:$D$304,"&gt;="&amp;P$5,'Leave Log'!$F$5:$F$304,"&lt;&gt;Rejected",'Leave Log'!$B$5:$B$304,"AL")&gt;0,"AL",IF(COUNTIFS('Leave Log'!$A$5:$A$304,$A17,'Leave Log'!$C$5:$C$304,"&lt;="&amp;P$5,'Leave Log'!$D$5:$D$304,"&gt;="&amp;P$5,'Leave Log'!$F$5:$F$304,"&lt;&gt;Rejected",'Leave Log'!$B$5:$B$304,"SL")&gt;0,"SL",IF(COUNTIFS('Leave Log'!$A$5:$A$304,$A17,'Leave Log'!$C$5:$C$304,"&lt;="&amp;P$5,'Leave Log'!$D$5:$D$304,"&gt;="&amp;P$5,'Leave Log'!$F$5:$F$304,"&lt;&gt;Rejected",'Leave Log'!$B$5:$B$304,"CL")&gt;0,"CL",IF(COUNTIFS('Leave Log'!$A$5:$A$304,$A17,'Leave Log'!$C$5:$C$304,"&lt;="&amp;P$5,'Leave Log'!$D$5:$D$304,"&gt;="&amp;P$5,'Leave Log'!$F$5:$F$304,"&lt;&gt;Rejected",'Leave Log'!$B$5:$B$304,"UL")&gt;0,"UL",IF(COUNTIFS('Leave Log'!$A$5:$A$304,$A17,'Leave Log'!$C$5:$C$304,"&lt;="&amp;P$5,'Leave Log'!$D$5:$D$304,"&gt;="&amp;P$5,'Leave Log'!$F$5:$F$304,"&lt;&gt;Rejected",'Leave Log'!$B$5:$B$304,"OT")&gt;0,"OT",""))))))</f>
        <v/>
      </c>
      <c r="Q17" s="12" t="str">
        <f aca="false">IF(OR(Q$5="",$A17=""),"",IF(COUNTIFS('Leave Log'!$A$5:$A$304,$A17,'Leave Log'!$C$5:$C$304,"&lt;="&amp;Q$5,'Leave Log'!$D$5:$D$304,"&gt;="&amp;Q$5,'Leave Log'!$F$5:$F$304,"&lt;&gt;Rejected",'Leave Log'!$B$5:$B$304,"AL")&gt;0,"AL",IF(COUNTIFS('Leave Log'!$A$5:$A$304,$A17,'Leave Log'!$C$5:$C$304,"&lt;="&amp;Q$5,'Leave Log'!$D$5:$D$304,"&gt;="&amp;Q$5,'Leave Log'!$F$5:$F$304,"&lt;&gt;Rejected",'Leave Log'!$B$5:$B$304,"SL")&gt;0,"SL",IF(COUNTIFS('Leave Log'!$A$5:$A$304,$A17,'Leave Log'!$C$5:$C$304,"&lt;="&amp;Q$5,'Leave Log'!$D$5:$D$304,"&gt;="&amp;Q$5,'Leave Log'!$F$5:$F$304,"&lt;&gt;Rejected",'Leave Log'!$B$5:$B$304,"CL")&gt;0,"CL",IF(COUNTIFS('Leave Log'!$A$5:$A$304,$A17,'Leave Log'!$C$5:$C$304,"&lt;="&amp;Q$5,'Leave Log'!$D$5:$D$304,"&gt;="&amp;Q$5,'Leave Log'!$F$5:$F$304,"&lt;&gt;Rejected",'Leave Log'!$B$5:$B$304,"UL")&gt;0,"UL",IF(COUNTIFS('Leave Log'!$A$5:$A$304,$A17,'Leave Log'!$C$5:$C$304,"&lt;="&amp;Q$5,'Leave Log'!$D$5:$D$304,"&gt;="&amp;Q$5,'Leave Log'!$F$5:$F$304,"&lt;&gt;Rejected",'Leave Log'!$B$5:$B$304,"OT")&gt;0,"OT",""))))))</f>
        <v/>
      </c>
      <c r="R17" s="12" t="str">
        <f aca="false">IF(OR(R$5="",$A17=""),"",IF(COUNTIFS('Leave Log'!$A$5:$A$304,$A17,'Leave Log'!$C$5:$C$304,"&lt;="&amp;R$5,'Leave Log'!$D$5:$D$304,"&gt;="&amp;R$5,'Leave Log'!$F$5:$F$304,"&lt;&gt;Rejected",'Leave Log'!$B$5:$B$304,"AL")&gt;0,"AL",IF(COUNTIFS('Leave Log'!$A$5:$A$304,$A17,'Leave Log'!$C$5:$C$304,"&lt;="&amp;R$5,'Leave Log'!$D$5:$D$304,"&gt;="&amp;R$5,'Leave Log'!$F$5:$F$304,"&lt;&gt;Rejected",'Leave Log'!$B$5:$B$304,"SL")&gt;0,"SL",IF(COUNTIFS('Leave Log'!$A$5:$A$304,$A17,'Leave Log'!$C$5:$C$304,"&lt;="&amp;R$5,'Leave Log'!$D$5:$D$304,"&gt;="&amp;R$5,'Leave Log'!$F$5:$F$304,"&lt;&gt;Rejected",'Leave Log'!$B$5:$B$304,"CL")&gt;0,"CL",IF(COUNTIFS('Leave Log'!$A$5:$A$304,$A17,'Leave Log'!$C$5:$C$304,"&lt;="&amp;R$5,'Leave Log'!$D$5:$D$304,"&gt;="&amp;R$5,'Leave Log'!$F$5:$F$304,"&lt;&gt;Rejected",'Leave Log'!$B$5:$B$304,"UL")&gt;0,"UL",IF(COUNTIFS('Leave Log'!$A$5:$A$304,$A17,'Leave Log'!$C$5:$C$304,"&lt;="&amp;R$5,'Leave Log'!$D$5:$D$304,"&gt;="&amp;R$5,'Leave Log'!$F$5:$F$304,"&lt;&gt;Rejected",'Leave Log'!$B$5:$B$304,"OT")&gt;0,"OT",""))))))</f>
        <v/>
      </c>
      <c r="S17" s="12" t="str">
        <f aca="false">IF(OR(S$5="",$A17=""),"",IF(COUNTIFS('Leave Log'!$A$5:$A$304,$A17,'Leave Log'!$C$5:$C$304,"&lt;="&amp;S$5,'Leave Log'!$D$5:$D$304,"&gt;="&amp;S$5,'Leave Log'!$F$5:$F$304,"&lt;&gt;Rejected",'Leave Log'!$B$5:$B$304,"AL")&gt;0,"AL",IF(COUNTIFS('Leave Log'!$A$5:$A$304,$A17,'Leave Log'!$C$5:$C$304,"&lt;="&amp;S$5,'Leave Log'!$D$5:$D$304,"&gt;="&amp;S$5,'Leave Log'!$F$5:$F$304,"&lt;&gt;Rejected",'Leave Log'!$B$5:$B$304,"SL")&gt;0,"SL",IF(COUNTIFS('Leave Log'!$A$5:$A$304,$A17,'Leave Log'!$C$5:$C$304,"&lt;="&amp;S$5,'Leave Log'!$D$5:$D$304,"&gt;="&amp;S$5,'Leave Log'!$F$5:$F$304,"&lt;&gt;Rejected",'Leave Log'!$B$5:$B$304,"CL")&gt;0,"CL",IF(COUNTIFS('Leave Log'!$A$5:$A$304,$A17,'Leave Log'!$C$5:$C$304,"&lt;="&amp;S$5,'Leave Log'!$D$5:$D$304,"&gt;="&amp;S$5,'Leave Log'!$F$5:$F$304,"&lt;&gt;Rejected",'Leave Log'!$B$5:$B$304,"UL")&gt;0,"UL",IF(COUNTIFS('Leave Log'!$A$5:$A$304,$A17,'Leave Log'!$C$5:$C$304,"&lt;="&amp;S$5,'Leave Log'!$D$5:$D$304,"&gt;="&amp;S$5,'Leave Log'!$F$5:$F$304,"&lt;&gt;Rejected",'Leave Log'!$B$5:$B$304,"OT")&gt;0,"OT",""))))))</f>
        <v/>
      </c>
      <c r="T17" s="12" t="str">
        <f aca="false">IF(OR(T$5="",$A17=""),"",IF(COUNTIFS('Leave Log'!$A$5:$A$304,$A17,'Leave Log'!$C$5:$C$304,"&lt;="&amp;T$5,'Leave Log'!$D$5:$D$304,"&gt;="&amp;T$5,'Leave Log'!$F$5:$F$304,"&lt;&gt;Rejected",'Leave Log'!$B$5:$B$304,"AL")&gt;0,"AL",IF(COUNTIFS('Leave Log'!$A$5:$A$304,$A17,'Leave Log'!$C$5:$C$304,"&lt;="&amp;T$5,'Leave Log'!$D$5:$D$304,"&gt;="&amp;T$5,'Leave Log'!$F$5:$F$304,"&lt;&gt;Rejected",'Leave Log'!$B$5:$B$304,"SL")&gt;0,"SL",IF(COUNTIFS('Leave Log'!$A$5:$A$304,$A17,'Leave Log'!$C$5:$C$304,"&lt;="&amp;T$5,'Leave Log'!$D$5:$D$304,"&gt;="&amp;T$5,'Leave Log'!$F$5:$F$304,"&lt;&gt;Rejected",'Leave Log'!$B$5:$B$304,"CL")&gt;0,"CL",IF(COUNTIFS('Leave Log'!$A$5:$A$304,$A17,'Leave Log'!$C$5:$C$304,"&lt;="&amp;T$5,'Leave Log'!$D$5:$D$304,"&gt;="&amp;T$5,'Leave Log'!$F$5:$F$304,"&lt;&gt;Rejected",'Leave Log'!$B$5:$B$304,"UL")&gt;0,"UL",IF(COUNTIFS('Leave Log'!$A$5:$A$304,$A17,'Leave Log'!$C$5:$C$304,"&lt;="&amp;T$5,'Leave Log'!$D$5:$D$304,"&gt;="&amp;T$5,'Leave Log'!$F$5:$F$304,"&lt;&gt;Rejected",'Leave Log'!$B$5:$B$304,"OT")&gt;0,"OT",""))))))</f>
        <v/>
      </c>
      <c r="U17" s="12" t="str">
        <f aca="false">IF(OR(U$5="",$A17=""),"",IF(COUNTIFS('Leave Log'!$A$5:$A$304,$A17,'Leave Log'!$C$5:$C$304,"&lt;="&amp;U$5,'Leave Log'!$D$5:$D$304,"&gt;="&amp;U$5,'Leave Log'!$F$5:$F$304,"&lt;&gt;Rejected",'Leave Log'!$B$5:$B$304,"AL")&gt;0,"AL",IF(COUNTIFS('Leave Log'!$A$5:$A$304,$A17,'Leave Log'!$C$5:$C$304,"&lt;="&amp;U$5,'Leave Log'!$D$5:$D$304,"&gt;="&amp;U$5,'Leave Log'!$F$5:$F$304,"&lt;&gt;Rejected",'Leave Log'!$B$5:$B$304,"SL")&gt;0,"SL",IF(COUNTIFS('Leave Log'!$A$5:$A$304,$A17,'Leave Log'!$C$5:$C$304,"&lt;="&amp;U$5,'Leave Log'!$D$5:$D$304,"&gt;="&amp;U$5,'Leave Log'!$F$5:$F$304,"&lt;&gt;Rejected",'Leave Log'!$B$5:$B$304,"CL")&gt;0,"CL",IF(COUNTIFS('Leave Log'!$A$5:$A$304,$A17,'Leave Log'!$C$5:$C$304,"&lt;="&amp;U$5,'Leave Log'!$D$5:$D$304,"&gt;="&amp;U$5,'Leave Log'!$F$5:$F$304,"&lt;&gt;Rejected",'Leave Log'!$B$5:$B$304,"UL")&gt;0,"UL",IF(COUNTIFS('Leave Log'!$A$5:$A$304,$A17,'Leave Log'!$C$5:$C$304,"&lt;="&amp;U$5,'Leave Log'!$D$5:$D$304,"&gt;="&amp;U$5,'Leave Log'!$F$5:$F$304,"&lt;&gt;Rejected",'Leave Log'!$B$5:$B$304,"OT")&gt;0,"OT",""))))))</f>
        <v/>
      </c>
      <c r="V17" s="12" t="str">
        <f aca="false">IF(OR(V$5="",$A17=""),"",IF(COUNTIFS('Leave Log'!$A$5:$A$304,$A17,'Leave Log'!$C$5:$C$304,"&lt;="&amp;V$5,'Leave Log'!$D$5:$D$304,"&gt;="&amp;V$5,'Leave Log'!$F$5:$F$304,"&lt;&gt;Rejected",'Leave Log'!$B$5:$B$304,"AL")&gt;0,"AL",IF(COUNTIFS('Leave Log'!$A$5:$A$304,$A17,'Leave Log'!$C$5:$C$304,"&lt;="&amp;V$5,'Leave Log'!$D$5:$D$304,"&gt;="&amp;V$5,'Leave Log'!$F$5:$F$304,"&lt;&gt;Rejected",'Leave Log'!$B$5:$B$304,"SL")&gt;0,"SL",IF(COUNTIFS('Leave Log'!$A$5:$A$304,$A17,'Leave Log'!$C$5:$C$304,"&lt;="&amp;V$5,'Leave Log'!$D$5:$D$304,"&gt;="&amp;V$5,'Leave Log'!$F$5:$F$304,"&lt;&gt;Rejected",'Leave Log'!$B$5:$B$304,"CL")&gt;0,"CL",IF(COUNTIFS('Leave Log'!$A$5:$A$304,$A17,'Leave Log'!$C$5:$C$304,"&lt;="&amp;V$5,'Leave Log'!$D$5:$D$304,"&gt;="&amp;V$5,'Leave Log'!$F$5:$F$304,"&lt;&gt;Rejected",'Leave Log'!$B$5:$B$304,"UL")&gt;0,"UL",IF(COUNTIFS('Leave Log'!$A$5:$A$304,$A17,'Leave Log'!$C$5:$C$304,"&lt;="&amp;V$5,'Leave Log'!$D$5:$D$304,"&gt;="&amp;V$5,'Leave Log'!$F$5:$F$304,"&lt;&gt;Rejected",'Leave Log'!$B$5:$B$304,"OT")&gt;0,"OT",""))))))</f>
        <v/>
      </c>
      <c r="W17" s="12" t="str">
        <f aca="false">IF(OR(W$5="",$A17=""),"",IF(COUNTIFS('Leave Log'!$A$5:$A$304,$A17,'Leave Log'!$C$5:$C$304,"&lt;="&amp;W$5,'Leave Log'!$D$5:$D$304,"&gt;="&amp;W$5,'Leave Log'!$F$5:$F$304,"&lt;&gt;Rejected",'Leave Log'!$B$5:$B$304,"AL")&gt;0,"AL",IF(COUNTIFS('Leave Log'!$A$5:$A$304,$A17,'Leave Log'!$C$5:$C$304,"&lt;="&amp;W$5,'Leave Log'!$D$5:$D$304,"&gt;="&amp;W$5,'Leave Log'!$F$5:$F$304,"&lt;&gt;Rejected",'Leave Log'!$B$5:$B$304,"SL")&gt;0,"SL",IF(COUNTIFS('Leave Log'!$A$5:$A$304,$A17,'Leave Log'!$C$5:$C$304,"&lt;="&amp;W$5,'Leave Log'!$D$5:$D$304,"&gt;="&amp;W$5,'Leave Log'!$F$5:$F$304,"&lt;&gt;Rejected",'Leave Log'!$B$5:$B$304,"CL")&gt;0,"CL",IF(COUNTIFS('Leave Log'!$A$5:$A$304,$A17,'Leave Log'!$C$5:$C$304,"&lt;="&amp;W$5,'Leave Log'!$D$5:$D$304,"&gt;="&amp;W$5,'Leave Log'!$F$5:$F$304,"&lt;&gt;Rejected",'Leave Log'!$B$5:$B$304,"UL")&gt;0,"UL",IF(COUNTIFS('Leave Log'!$A$5:$A$304,$A17,'Leave Log'!$C$5:$C$304,"&lt;="&amp;W$5,'Leave Log'!$D$5:$D$304,"&gt;="&amp;W$5,'Leave Log'!$F$5:$F$304,"&lt;&gt;Rejected",'Leave Log'!$B$5:$B$304,"OT")&gt;0,"OT",""))))))</f>
        <v/>
      </c>
      <c r="X17" s="12" t="str">
        <f aca="false">IF(OR(X$5="",$A17=""),"",IF(COUNTIFS('Leave Log'!$A$5:$A$304,$A17,'Leave Log'!$C$5:$C$304,"&lt;="&amp;X$5,'Leave Log'!$D$5:$D$304,"&gt;="&amp;X$5,'Leave Log'!$F$5:$F$304,"&lt;&gt;Rejected",'Leave Log'!$B$5:$B$304,"AL")&gt;0,"AL",IF(COUNTIFS('Leave Log'!$A$5:$A$304,$A17,'Leave Log'!$C$5:$C$304,"&lt;="&amp;X$5,'Leave Log'!$D$5:$D$304,"&gt;="&amp;X$5,'Leave Log'!$F$5:$F$304,"&lt;&gt;Rejected",'Leave Log'!$B$5:$B$304,"SL")&gt;0,"SL",IF(COUNTIFS('Leave Log'!$A$5:$A$304,$A17,'Leave Log'!$C$5:$C$304,"&lt;="&amp;X$5,'Leave Log'!$D$5:$D$304,"&gt;="&amp;X$5,'Leave Log'!$F$5:$F$304,"&lt;&gt;Rejected",'Leave Log'!$B$5:$B$304,"CL")&gt;0,"CL",IF(COUNTIFS('Leave Log'!$A$5:$A$304,$A17,'Leave Log'!$C$5:$C$304,"&lt;="&amp;X$5,'Leave Log'!$D$5:$D$304,"&gt;="&amp;X$5,'Leave Log'!$F$5:$F$304,"&lt;&gt;Rejected",'Leave Log'!$B$5:$B$304,"UL")&gt;0,"UL",IF(COUNTIFS('Leave Log'!$A$5:$A$304,$A17,'Leave Log'!$C$5:$C$304,"&lt;="&amp;X$5,'Leave Log'!$D$5:$D$304,"&gt;="&amp;X$5,'Leave Log'!$F$5:$F$304,"&lt;&gt;Rejected",'Leave Log'!$B$5:$B$304,"OT")&gt;0,"OT",""))))))</f>
        <v/>
      </c>
      <c r="Y17" s="12" t="str">
        <f aca="false">IF(OR(Y$5="",$A17=""),"",IF(COUNTIFS('Leave Log'!$A$5:$A$304,$A17,'Leave Log'!$C$5:$C$304,"&lt;="&amp;Y$5,'Leave Log'!$D$5:$D$304,"&gt;="&amp;Y$5,'Leave Log'!$F$5:$F$304,"&lt;&gt;Rejected",'Leave Log'!$B$5:$B$304,"AL")&gt;0,"AL",IF(COUNTIFS('Leave Log'!$A$5:$A$304,$A17,'Leave Log'!$C$5:$C$304,"&lt;="&amp;Y$5,'Leave Log'!$D$5:$D$304,"&gt;="&amp;Y$5,'Leave Log'!$F$5:$F$304,"&lt;&gt;Rejected",'Leave Log'!$B$5:$B$304,"SL")&gt;0,"SL",IF(COUNTIFS('Leave Log'!$A$5:$A$304,$A17,'Leave Log'!$C$5:$C$304,"&lt;="&amp;Y$5,'Leave Log'!$D$5:$D$304,"&gt;="&amp;Y$5,'Leave Log'!$F$5:$F$304,"&lt;&gt;Rejected",'Leave Log'!$B$5:$B$304,"CL")&gt;0,"CL",IF(COUNTIFS('Leave Log'!$A$5:$A$304,$A17,'Leave Log'!$C$5:$C$304,"&lt;="&amp;Y$5,'Leave Log'!$D$5:$D$304,"&gt;="&amp;Y$5,'Leave Log'!$F$5:$F$304,"&lt;&gt;Rejected",'Leave Log'!$B$5:$B$304,"UL")&gt;0,"UL",IF(COUNTIFS('Leave Log'!$A$5:$A$304,$A17,'Leave Log'!$C$5:$C$304,"&lt;="&amp;Y$5,'Leave Log'!$D$5:$D$304,"&gt;="&amp;Y$5,'Leave Log'!$F$5:$F$304,"&lt;&gt;Rejected",'Leave Log'!$B$5:$B$304,"OT")&gt;0,"OT",""))))))</f>
        <v/>
      </c>
      <c r="Z17" s="12" t="str">
        <f aca="false">IF(OR(Z$5="",$A17=""),"",IF(COUNTIFS('Leave Log'!$A$5:$A$304,$A17,'Leave Log'!$C$5:$C$304,"&lt;="&amp;Z$5,'Leave Log'!$D$5:$D$304,"&gt;="&amp;Z$5,'Leave Log'!$F$5:$F$304,"&lt;&gt;Rejected",'Leave Log'!$B$5:$B$304,"AL")&gt;0,"AL",IF(COUNTIFS('Leave Log'!$A$5:$A$304,$A17,'Leave Log'!$C$5:$C$304,"&lt;="&amp;Z$5,'Leave Log'!$D$5:$D$304,"&gt;="&amp;Z$5,'Leave Log'!$F$5:$F$304,"&lt;&gt;Rejected",'Leave Log'!$B$5:$B$304,"SL")&gt;0,"SL",IF(COUNTIFS('Leave Log'!$A$5:$A$304,$A17,'Leave Log'!$C$5:$C$304,"&lt;="&amp;Z$5,'Leave Log'!$D$5:$D$304,"&gt;="&amp;Z$5,'Leave Log'!$F$5:$F$304,"&lt;&gt;Rejected",'Leave Log'!$B$5:$B$304,"CL")&gt;0,"CL",IF(COUNTIFS('Leave Log'!$A$5:$A$304,$A17,'Leave Log'!$C$5:$C$304,"&lt;="&amp;Z$5,'Leave Log'!$D$5:$D$304,"&gt;="&amp;Z$5,'Leave Log'!$F$5:$F$304,"&lt;&gt;Rejected",'Leave Log'!$B$5:$B$304,"UL")&gt;0,"UL",IF(COUNTIFS('Leave Log'!$A$5:$A$304,$A17,'Leave Log'!$C$5:$C$304,"&lt;="&amp;Z$5,'Leave Log'!$D$5:$D$304,"&gt;="&amp;Z$5,'Leave Log'!$F$5:$F$304,"&lt;&gt;Rejected",'Leave Log'!$B$5:$B$304,"OT")&gt;0,"OT",""))))))</f>
        <v/>
      </c>
      <c r="AA17" s="12" t="str">
        <f aca="false">IF(OR(AA$5="",$A17=""),"",IF(COUNTIFS('Leave Log'!$A$5:$A$304,$A17,'Leave Log'!$C$5:$C$304,"&lt;="&amp;AA$5,'Leave Log'!$D$5:$D$304,"&gt;="&amp;AA$5,'Leave Log'!$F$5:$F$304,"&lt;&gt;Rejected",'Leave Log'!$B$5:$B$304,"AL")&gt;0,"AL",IF(COUNTIFS('Leave Log'!$A$5:$A$304,$A17,'Leave Log'!$C$5:$C$304,"&lt;="&amp;AA$5,'Leave Log'!$D$5:$D$304,"&gt;="&amp;AA$5,'Leave Log'!$F$5:$F$304,"&lt;&gt;Rejected",'Leave Log'!$B$5:$B$304,"SL")&gt;0,"SL",IF(COUNTIFS('Leave Log'!$A$5:$A$304,$A17,'Leave Log'!$C$5:$C$304,"&lt;="&amp;AA$5,'Leave Log'!$D$5:$D$304,"&gt;="&amp;AA$5,'Leave Log'!$F$5:$F$304,"&lt;&gt;Rejected",'Leave Log'!$B$5:$B$304,"CL")&gt;0,"CL",IF(COUNTIFS('Leave Log'!$A$5:$A$304,$A17,'Leave Log'!$C$5:$C$304,"&lt;="&amp;AA$5,'Leave Log'!$D$5:$D$304,"&gt;="&amp;AA$5,'Leave Log'!$F$5:$F$304,"&lt;&gt;Rejected",'Leave Log'!$B$5:$B$304,"UL")&gt;0,"UL",IF(COUNTIFS('Leave Log'!$A$5:$A$304,$A17,'Leave Log'!$C$5:$C$304,"&lt;="&amp;AA$5,'Leave Log'!$D$5:$D$304,"&gt;="&amp;AA$5,'Leave Log'!$F$5:$F$304,"&lt;&gt;Rejected",'Leave Log'!$B$5:$B$304,"OT")&gt;0,"OT",""))))))</f>
        <v/>
      </c>
      <c r="AB17" s="12" t="str">
        <f aca="false">IF(OR(AB$5="",$A17=""),"",IF(COUNTIFS('Leave Log'!$A$5:$A$304,$A17,'Leave Log'!$C$5:$C$304,"&lt;="&amp;AB$5,'Leave Log'!$D$5:$D$304,"&gt;="&amp;AB$5,'Leave Log'!$F$5:$F$304,"&lt;&gt;Rejected",'Leave Log'!$B$5:$B$304,"AL")&gt;0,"AL",IF(COUNTIFS('Leave Log'!$A$5:$A$304,$A17,'Leave Log'!$C$5:$C$304,"&lt;="&amp;AB$5,'Leave Log'!$D$5:$D$304,"&gt;="&amp;AB$5,'Leave Log'!$F$5:$F$304,"&lt;&gt;Rejected",'Leave Log'!$B$5:$B$304,"SL")&gt;0,"SL",IF(COUNTIFS('Leave Log'!$A$5:$A$304,$A17,'Leave Log'!$C$5:$C$304,"&lt;="&amp;AB$5,'Leave Log'!$D$5:$D$304,"&gt;="&amp;AB$5,'Leave Log'!$F$5:$F$304,"&lt;&gt;Rejected",'Leave Log'!$B$5:$B$304,"CL")&gt;0,"CL",IF(COUNTIFS('Leave Log'!$A$5:$A$304,$A17,'Leave Log'!$C$5:$C$304,"&lt;="&amp;AB$5,'Leave Log'!$D$5:$D$304,"&gt;="&amp;AB$5,'Leave Log'!$F$5:$F$304,"&lt;&gt;Rejected",'Leave Log'!$B$5:$B$304,"UL")&gt;0,"UL",IF(COUNTIFS('Leave Log'!$A$5:$A$304,$A17,'Leave Log'!$C$5:$C$304,"&lt;="&amp;AB$5,'Leave Log'!$D$5:$D$304,"&gt;="&amp;AB$5,'Leave Log'!$F$5:$F$304,"&lt;&gt;Rejected",'Leave Log'!$B$5:$B$304,"OT")&gt;0,"OT",""))))))</f>
        <v/>
      </c>
      <c r="AC17" s="12" t="str">
        <f aca="false">IF(OR(AC$5="",$A17=""),"",IF(COUNTIFS('Leave Log'!$A$5:$A$304,$A17,'Leave Log'!$C$5:$C$304,"&lt;="&amp;AC$5,'Leave Log'!$D$5:$D$304,"&gt;="&amp;AC$5,'Leave Log'!$F$5:$F$304,"&lt;&gt;Rejected",'Leave Log'!$B$5:$B$304,"AL")&gt;0,"AL",IF(COUNTIFS('Leave Log'!$A$5:$A$304,$A17,'Leave Log'!$C$5:$C$304,"&lt;="&amp;AC$5,'Leave Log'!$D$5:$D$304,"&gt;="&amp;AC$5,'Leave Log'!$F$5:$F$304,"&lt;&gt;Rejected",'Leave Log'!$B$5:$B$304,"SL")&gt;0,"SL",IF(COUNTIFS('Leave Log'!$A$5:$A$304,$A17,'Leave Log'!$C$5:$C$304,"&lt;="&amp;AC$5,'Leave Log'!$D$5:$D$304,"&gt;="&amp;AC$5,'Leave Log'!$F$5:$F$304,"&lt;&gt;Rejected",'Leave Log'!$B$5:$B$304,"CL")&gt;0,"CL",IF(COUNTIFS('Leave Log'!$A$5:$A$304,$A17,'Leave Log'!$C$5:$C$304,"&lt;="&amp;AC$5,'Leave Log'!$D$5:$D$304,"&gt;="&amp;AC$5,'Leave Log'!$F$5:$F$304,"&lt;&gt;Rejected",'Leave Log'!$B$5:$B$304,"UL")&gt;0,"UL",IF(COUNTIFS('Leave Log'!$A$5:$A$304,$A17,'Leave Log'!$C$5:$C$304,"&lt;="&amp;AC$5,'Leave Log'!$D$5:$D$304,"&gt;="&amp;AC$5,'Leave Log'!$F$5:$F$304,"&lt;&gt;Rejected",'Leave Log'!$B$5:$B$304,"OT")&gt;0,"OT",""))))))</f>
        <v/>
      </c>
      <c r="AD17" s="12" t="str">
        <f aca="false">IF(OR(AD$5="",$A17=""),"",IF(COUNTIFS('Leave Log'!$A$5:$A$304,$A17,'Leave Log'!$C$5:$C$304,"&lt;="&amp;AD$5,'Leave Log'!$D$5:$D$304,"&gt;="&amp;AD$5,'Leave Log'!$F$5:$F$304,"&lt;&gt;Rejected",'Leave Log'!$B$5:$B$304,"AL")&gt;0,"AL",IF(COUNTIFS('Leave Log'!$A$5:$A$304,$A17,'Leave Log'!$C$5:$C$304,"&lt;="&amp;AD$5,'Leave Log'!$D$5:$D$304,"&gt;="&amp;AD$5,'Leave Log'!$F$5:$F$304,"&lt;&gt;Rejected",'Leave Log'!$B$5:$B$304,"SL")&gt;0,"SL",IF(COUNTIFS('Leave Log'!$A$5:$A$304,$A17,'Leave Log'!$C$5:$C$304,"&lt;="&amp;AD$5,'Leave Log'!$D$5:$D$304,"&gt;="&amp;AD$5,'Leave Log'!$F$5:$F$304,"&lt;&gt;Rejected",'Leave Log'!$B$5:$B$304,"CL")&gt;0,"CL",IF(COUNTIFS('Leave Log'!$A$5:$A$304,$A17,'Leave Log'!$C$5:$C$304,"&lt;="&amp;AD$5,'Leave Log'!$D$5:$D$304,"&gt;="&amp;AD$5,'Leave Log'!$F$5:$F$304,"&lt;&gt;Rejected",'Leave Log'!$B$5:$B$304,"UL")&gt;0,"UL",IF(COUNTIFS('Leave Log'!$A$5:$A$304,$A17,'Leave Log'!$C$5:$C$304,"&lt;="&amp;AD$5,'Leave Log'!$D$5:$D$304,"&gt;="&amp;AD$5,'Leave Log'!$F$5:$F$304,"&lt;&gt;Rejected",'Leave Log'!$B$5:$B$304,"OT")&gt;0,"OT",""))))))</f>
        <v/>
      </c>
      <c r="AE17" s="12" t="str">
        <f aca="false">IF(OR(AE$5="",$A17=""),"",IF(COUNTIFS('Leave Log'!$A$5:$A$304,$A17,'Leave Log'!$C$5:$C$304,"&lt;="&amp;AE$5,'Leave Log'!$D$5:$D$304,"&gt;="&amp;AE$5,'Leave Log'!$F$5:$F$304,"&lt;&gt;Rejected",'Leave Log'!$B$5:$B$304,"AL")&gt;0,"AL",IF(COUNTIFS('Leave Log'!$A$5:$A$304,$A17,'Leave Log'!$C$5:$C$304,"&lt;="&amp;AE$5,'Leave Log'!$D$5:$D$304,"&gt;="&amp;AE$5,'Leave Log'!$F$5:$F$304,"&lt;&gt;Rejected",'Leave Log'!$B$5:$B$304,"SL")&gt;0,"SL",IF(COUNTIFS('Leave Log'!$A$5:$A$304,$A17,'Leave Log'!$C$5:$C$304,"&lt;="&amp;AE$5,'Leave Log'!$D$5:$D$304,"&gt;="&amp;AE$5,'Leave Log'!$F$5:$F$304,"&lt;&gt;Rejected",'Leave Log'!$B$5:$B$304,"CL")&gt;0,"CL",IF(COUNTIFS('Leave Log'!$A$5:$A$304,$A17,'Leave Log'!$C$5:$C$304,"&lt;="&amp;AE$5,'Leave Log'!$D$5:$D$304,"&gt;="&amp;AE$5,'Leave Log'!$F$5:$F$304,"&lt;&gt;Rejected",'Leave Log'!$B$5:$B$304,"UL")&gt;0,"UL",IF(COUNTIFS('Leave Log'!$A$5:$A$304,$A17,'Leave Log'!$C$5:$C$304,"&lt;="&amp;AE$5,'Leave Log'!$D$5:$D$304,"&gt;="&amp;AE$5,'Leave Log'!$F$5:$F$304,"&lt;&gt;Rejected",'Leave Log'!$B$5:$B$304,"OT")&gt;0,"OT",""))))))</f>
        <v/>
      </c>
      <c r="AF17" s="12" t="str">
        <f aca="false">IF(OR(AF$5="",$A17=""),"",IF(COUNTIFS('Leave Log'!$A$5:$A$304,$A17,'Leave Log'!$C$5:$C$304,"&lt;="&amp;AF$5,'Leave Log'!$D$5:$D$304,"&gt;="&amp;AF$5,'Leave Log'!$F$5:$F$304,"&lt;&gt;Rejected",'Leave Log'!$B$5:$B$304,"AL")&gt;0,"AL",IF(COUNTIFS('Leave Log'!$A$5:$A$304,$A17,'Leave Log'!$C$5:$C$304,"&lt;="&amp;AF$5,'Leave Log'!$D$5:$D$304,"&gt;="&amp;AF$5,'Leave Log'!$F$5:$F$304,"&lt;&gt;Rejected",'Leave Log'!$B$5:$B$304,"SL")&gt;0,"SL",IF(COUNTIFS('Leave Log'!$A$5:$A$304,$A17,'Leave Log'!$C$5:$C$304,"&lt;="&amp;AF$5,'Leave Log'!$D$5:$D$304,"&gt;="&amp;AF$5,'Leave Log'!$F$5:$F$304,"&lt;&gt;Rejected",'Leave Log'!$B$5:$B$304,"CL")&gt;0,"CL",IF(COUNTIFS('Leave Log'!$A$5:$A$304,$A17,'Leave Log'!$C$5:$C$304,"&lt;="&amp;AF$5,'Leave Log'!$D$5:$D$304,"&gt;="&amp;AF$5,'Leave Log'!$F$5:$F$304,"&lt;&gt;Rejected",'Leave Log'!$B$5:$B$304,"UL")&gt;0,"UL",IF(COUNTIFS('Leave Log'!$A$5:$A$304,$A17,'Leave Log'!$C$5:$C$304,"&lt;="&amp;AF$5,'Leave Log'!$D$5:$D$304,"&gt;="&amp;AF$5,'Leave Log'!$F$5:$F$304,"&lt;&gt;Rejected",'Leave Log'!$B$5:$B$304,"OT")&gt;0,"OT",""))))))</f>
        <v/>
      </c>
      <c r="AG17" s="12" t="str">
        <f aca="false">IF(OR(AG$5="",$A17=""),"",IF(COUNTIFS('Leave Log'!$A$5:$A$304,$A17,'Leave Log'!$C$5:$C$304,"&lt;="&amp;AG$5,'Leave Log'!$D$5:$D$304,"&gt;="&amp;AG$5,'Leave Log'!$F$5:$F$304,"&lt;&gt;Rejected",'Leave Log'!$B$5:$B$304,"AL")&gt;0,"AL",IF(COUNTIFS('Leave Log'!$A$5:$A$304,$A17,'Leave Log'!$C$5:$C$304,"&lt;="&amp;AG$5,'Leave Log'!$D$5:$D$304,"&gt;="&amp;AG$5,'Leave Log'!$F$5:$F$304,"&lt;&gt;Rejected",'Leave Log'!$B$5:$B$304,"SL")&gt;0,"SL",IF(COUNTIFS('Leave Log'!$A$5:$A$304,$A17,'Leave Log'!$C$5:$C$304,"&lt;="&amp;AG$5,'Leave Log'!$D$5:$D$304,"&gt;="&amp;AG$5,'Leave Log'!$F$5:$F$304,"&lt;&gt;Rejected",'Leave Log'!$B$5:$B$304,"CL")&gt;0,"CL",IF(COUNTIFS('Leave Log'!$A$5:$A$304,$A17,'Leave Log'!$C$5:$C$304,"&lt;="&amp;AG$5,'Leave Log'!$D$5:$D$304,"&gt;="&amp;AG$5,'Leave Log'!$F$5:$F$304,"&lt;&gt;Rejected",'Leave Log'!$B$5:$B$304,"UL")&gt;0,"UL",IF(COUNTIFS('Leave Log'!$A$5:$A$304,$A17,'Leave Log'!$C$5:$C$304,"&lt;="&amp;AG$5,'Leave Log'!$D$5:$D$304,"&gt;="&amp;AG$5,'Leave Log'!$F$5:$F$304,"&lt;&gt;Rejected",'Leave Log'!$B$5:$B$304,"OT")&gt;0,"OT",""))))))</f>
        <v/>
      </c>
    </row>
    <row r="18" customFormat="false" ht="15" hidden="false" customHeight="false" outlineLevel="0" collapsed="false">
      <c r="A18" s="3" t="str">
        <f aca="false">IF(Employees!B17="","",Employees!B17)</f>
        <v/>
      </c>
      <c r="B18" s="11" t="str">
        <f aca="false">IF(Employees!B17="","",Employees!C17)</f>
        <v/>
      </c>
      <c r="C18" s="12" t="str">
        <f aca="false">IF(OR(C$5="",$A18=""),"",IF(COUNTIFS('Leave Log'!$A$5:$A$304,$A18,'Leave Log'!$C$5:$C$304,"&lt;="&amp;C$5,'Leave Log'!$D$5:$D$304,"&gt;="&amp;C$5,'Leave Log'!$F$5:$F$304,"&lt;&gt;Rejected",'Leave Log'!$B$5:$B$304,"AL")&gt;0,"AL",IF(COUNTIFS('Leave Log'!$A$5:$A$304,$A18,'Leave Log'!$C$5:$C$304,"&lt;="&amp;C$5,'Leave Log'!$D$5:$D$304,"&gt;="&amp;C$5,'Leave Log'!$F$5:$F$304,"&lt;&gt;Rejected",'Leave Log'!$B$5:$B$304,"SL")&gt;0,"SL",IF(COUNTIFS('Leave Log'!$A$5:$A$304,$A18,'Leave Log'!$C$5:$C$304,"&lt;="&amp;C$5,'Leave Log'!$D$5:$D$304,"&gt;="&amp;C$5,'Leave Log'!$F$5:$F$304,"&lt;&gt;Rejected",'Leave Log'!$B$5:$B$304,"CL")&gt;0,"CL",IF(COUNTIFS('Leave Log'!$A$5:$A$304,$A18,'Leave Log'!$C$5:$C$304,"&lt;="&amp;C$5,'Leave Log'!$D$5:$D$304,"&gt;="&amp;C$5,'Leave Log'!$F$5:$F$304,"&lt;&gt;Rejected",'Leave Log'!$B$5:$B$304,"UL")&gt;0,"UL",IF(COUNTIFS('Leave Log'!$A$5:$A$304,$A18,'Leave Log'!$C$5:$C$304,"&lt;="&amp;C$5,'Leave Log'!$D$5:$D$304,"&gt;="&amp;C$5,'Leave Log'!$F$5:$F$304,"&lt;&gt;Rejected",'Leave Log'!$B$5:$B$304,"OT")&gt;0,"OT",""))))))</f>
        <v/>
      </c>
      <c r="D18" s="12" t="str">
        <f aca="false">IF(OR(D$5="",$A18=""),"",IF(COUNTIFS('Leave Log'!$A$5:$A$304,$A18,'Leave Log'!$C$5:$C$304,"&lt;="&amp;D$5,'Leave Log'!$D$5:$D$304,"&gt;="&amp;D$5,'Leave Log'!$F$5:$F$304,"&lt;&gt;Rejected",'Leave Log'!$B$5:$B$304,"AL")&gt;0,"AL",IF(COUNTIFS('Leave Log'!$A$5:$A$304,$A18,'Leave Log'!$C$5:$C$304,"&lt;="&amp;D$5,'Leave Log'!$D$5:$D$304,"&gt;="&amp;D$5,'Leave Log'!$F$5:$F$304,"&lt;&gt;Rejected",'Leave Log'!$B$5:$B$304,"SL")&gt;0,"SL",IF(COUNTIFS('Leave Log'!$A$5:$A$304,$A18,'Leave Log'!$C$5:$C$304,"&lt;="&amp;D$5,'Leave Log'!$D$5:$D$304,"&gt;="&amp;D$5,'Leave Log'!$F$5:$F$304,"&lt;&gt;Rejected",'Leave Log'!$B$5:$B$304,"CL")&gt;0,"CL",IF(COUNTIFS('Leave Log'!$A$5:$A$304,$A18,'Leave Log'!$C$5:$C$304,"&lt;="&amp;D$5,'Leave Log'!$D$5:$D$304,"&gt;="&amp;D$5,'Leave Log'!$F$5:$F$304,"&lt;&gt;Rejected",'Leave Log'!$B$5:$B$304,"UL")&gt;0,"UL",IF(COUNTIFS('Leave Log'!$A$5:$A$304,$A18,'Leave Log'!$C$5:$C$304,"&lt;="&amp;D$5,'Leave Log'!$D$5:$D$304,"&gt;="&amp;D$5,'Leave Log'!$F$5:$F$304,"&lt;&gt;Rejected",'Leave Log'!$B$5:$B$304,"OT")&gt;0,"OT",""))))))</f>
        <v/>
      </c>
      <c r="E18" s="12" t="str">
        <f aca="false">IF(OR(E$5="",$A18=""),"",IF(COUNTIFS('Leave Log'!$A$5:$A$304,$A18,'Leave Log'!$C$5:$C$304,"&lt;="&amp;E$5,'Leave Log'!$D$5:$D$304,"&gt;="&amp;E$5,'Leave Log'!$F$5:$F$304,"&lt;&gt;Rejected",'Leave Log'!$B$5:$B$304,"AL")&gt;0,"AL",IF(COUNTIFS('Leave Log'!$A$5:$A$304,$A18,'Leave Log'!$C$5:$C$304,"&lt;="&amp;E$5,'Leave Log'!$D$5:$D$304,"&gt;="&amp;E$5,'Leave Log'!$F$5:$F$304,"&lt;&gt;Rejected",'Leave Log'!$B$5:$B$304,"SL")&gt;0,"SL",IF(COUNTIFS('Leave Log'!$A$5:$A$304,$A18,'Leave Log'!$C$5:$C$304,"&lt;="&amp;E$5,'Leave Log'!$D$5:$D$304,"&gt;="&amp;E$5,'Leave Log'!$F$5:$F$304,"&lt;&gt;Rejected",'Leave Log'!$B$5:$B$304,"CL")&gt;0,"CL",IF(COUNTIFS('Leave Log'!$A$5:$A$304,$A18,'Leave Log'!$C$5:$C$304,"&lt;="&amp;E$5,'Leave Log'!$D$5:$D$304,"&gt;="&amp;E$5,'Leave Log'!$F$5:$F$304,"&lt;&gt;Rejected",'Leave Log'!$B$5:$B$304,"UL")&gt;0,"UL",IF(COUNTIFS('Leave Log'!$A$5:$A$304,$A18,'Leave Log'!$C$5:$C$304,"&lt;="&amp;E$5,'Leave Log'!$D$5:$D$304,"&gt;="&amp;E$5,'Leave Log'!$F$5:$F$304,"&lt;&gt;Rejected",'Leave Log'!$B$5:$B$304,"OT")&gt;0,"OT",""))))))</f>
        <v/>
      </c>
      <c r="F18" s="12" t="str">
        <f aca="false">IF(OR(F$5="",$A18=""),"",IF(COUNTIFS('Leave Log'!$A$5:$A$304,$A18,'Leave Log'!$C$5:$C$304,"&lt;="&amp;F$5,'Leave Log'!$D$5:$D$304,"&gt;="&amp;F$5,'Leave Log'!$F$5:$F$304,"&lt;&gt;Rejected",'Leave Log'!$B$5:$B$304,"AL")&gt;0,"AL",IF(COUNTIFS('Leave Log'!$A$5:$A$304,$A18,'Leave Log'!$C$5:$C$304,"&lt;="&amp;F$5,'Leave Log'!$D$5:$D$304,"&gt;="&amp;F$5,'Leave Log'!$F$5:$F$304,"&lt;&gt;Rejected",'Leave Log'!$B$5:$B$304,"SL")&gt;0,"SL",IF(COUNTIFS('Leave Log'!$A$5:$A$304,$A18,'Leave Log'!$C$5:$C$304,"&lt;="&amp;F$5,'Leave Log'!$D$5:$D$304,"&gt;="&amp;F$5,'Leave Log'!$F$5:$F$304,"&lt;&gt;Rejected",'Leave Log'!$B$5:$B$304,"CL")&gt;0,"CL",IF(COUNTIFS('Leave Log'!$A$5:$A$304,$A18,'Leave Log'!$C$5:$C$304,"&lt;="&amp;F$5,'Leave Log'!$D$5:$D$304,"&gt;="&amp;F$5,'Leave Log'!$F$5:$F$304,"&lt;&gt;Rejected",'Leave Log'!$B$5:$B$304,"UL")&gt;0,"UL",IF(COUNTIFS('Leave Log'!$A$5:$A$304,$A18,'Leave Log'!$C$5:$C$304,"&lt;="&amp;F$5,'Leave Log'!$D$5:$D$304,"&gt;="&amp;F$5,'Leave Log'!$F$5:$F$304,"&lt;&gt;Rejected",'Leave Log'!$B$5:$B$304,"OT")&gt;0,"OT",""))))))</f>
        <v/>
      </c>
      <c r="G18" s="12" t="str">
        <f aca="false">IF(OR(G$5="",$A18=""),"",IF(COUNTIFS('Leave Log'!$A$5:$A$304,$A18,'Leave Log'!$C$5:$C$304,"&lt;="&amp;G$5,'Leave Log'!$D$5:$D$304,"&gt;="&amp;G$5,'Leave Log'!$F$5:$F$304,"&lt;&gt;Rejected",'Leave Log'!$B$5:$B$304,"AL")&gt;0,"AL",IF(COUNTIFS('Leave Log'!$A$5:$A$304,$A18,'Leave Log'!$C$5:$C$304,"&lt;="&amp;G$5,'Leave Log'!$D$5:$D$304,"&gt;="&amp;G$5,'Leave Log'!$F$5:$F$304,"&lt;&gt;Rejected",'Leave Log'!$B$5:$B$304,"SL")&gt;0,"SL",IF(COUNTIFS('Leave Log'!$A$5:$A$304,$A18,'Leave Log'!$C$5:$C$304,"&lt;="&amp;G$5,'Leave Log'!$D$5:$D$304,"&gt;="&amp;G$5,'Leave Log'!$F$5:$F$304,"&lt;&gt;Rejected",'Leave Log'!$B$5:$B$304,"CL")&gt;0,"CL",IF(COUNTIFS('Leave Log'!$A$5:$A$304,$A18,'Leave Log'!$C$5:$C$304,"&lt;="&amp;G$5,'Leave Log'!$D$5:$D$304,"&gt;="&amp;G$5,'Leave Log'!$F$5:$F$304,"&lt;&gt;Rejected",'Leave Log'!$B$5:$B$304,"UL")&gt;0,"UL",IF(COUNTIFS('Leave Log'!$A$5:$A$304,$A18,'Leave Log'!$C$5:$C$304,"&lt;="&amp;G$5,'Leave Log'!$D$5:$D$304,"&gt;="&amp;G$5,'Leave Log'!$F$5:$F$304,"&lt;&gt;Rejected",'Leave Log'!$B$5:$B$304,"OT")&gt;0,"OT",""))))))</f>
        <v/>
      </c>
      <c r="H18" s="12" t="str">
        <f aca="false">IF(OR(H$5="",$A18=""),"",IF(COUNTIFS('Leave Log'!$A$5:$A$304,$A18,'Leave Log'!$C$5:$C$304,"&lt;="&amp;H$5,'Leave Log'!$D$5:$D$304,"&gt;="&amp;H$5,'Leave Log'!$F$5:$F$304,"&lt;&gt;Rejected",'Leave Log'!$B$5:$B$304,"AL")&gt;0,"AL",IF(COUNTIFS('Leave Log'!$A$5:$A$304,$A18,'Leave Log'!$C$5:$C$304,"&lt;="&amp;H$5,'Leave Log'!$D$5:$D$304,"&gt;="&amp;H$5,'Leave Log'!$F$5:$F$304,"&lt;&gt;Rejected",'Leave Log'!$B$5:$B$304,"SL")&gt;0,"SL",IF(COUNTIFS('Leave Log'!$A$5:$A$304,$A18,'Leave Log'!$C$5:$C$304,"&lt;="&amp;H$5,'Leave Log'!$D$5:$D$304,"&gt;="&amp;H$5,'Leave Log'!$F$5:$F$304,"&lt;&gt;Rejected",'Leave Log'!$B$5:$B$304,"CL")&gt;0,"CL",IF(COUNTIFS('Leave Log'!$A$5:$A$304,$A18,'Leave Log'!$C$5:$C$304,"&lt;="&amp;H$5,'Leave Log'!$D$5:$D$304,"&gt;="&amp;H$5,'Leave Log'!$F$5:$F$304,"&lt;&gt;Rejected",'Leave Log'!$B$5:$B$304,"UL")&gt;0,"UL",IF(COUNTIFS('Leave Log'!$A$5:$A$304,$A18,'Leave Log'!$C$5:$C$304,"&lt;="&amp;H$5,'Leave Log'!$D$5:$D$304,"&gt;="&amp;H$5,'Leave Log'!$F$5:$F$304,"&lt;&gt;Rejected",'Leave Log'!$B$5:$B$304,"OT")&gt;0,"OT",""))))))</f>
        <v/>
      </c>
      <c r="I18" s="12" t="str">
        <f aca="false">IF(OR(I$5="",$A18=""),"",IF(COUNTIFS('Leave Log'!$A$5:$A$304,$A18,'Leave Log'!$C$5:$C$304,"&lt;="&amp;I$5,'Leave Log'!$D$5:$D$304,"&gt;="&amp;I$5,'Leave Log'!$F$5:$F$304,"&lt;&gt;Rejected",'Leave Log'!$B$5:$B$304,"AL")&gt;0,"AL",IF(COUNTIFS('Leave Log'!$A$5:$A$304,$A18,'Leave Log'!$C$5:$C$304,"&lt;="&amp;I$5,'Leave Log'!$D$5:$D$304,"&gt;="&amp;I$5,'Leave Log'!$F$5:$F$304,"&lt;&gt;Rejected",'Leave Log'!$B$5:$B$304,"SL")&gt;0,"SL",IF(COUNTIFS('Leave Log'!$A$5:$A$304,$A18,'Leave Log'!$C$5:$C$304,"&lt;="&amp;I$5,'Leave Log'!$D$5:$D$304,"&gt;="&amp;I$5,'Leave Log'!$F$5:$F$304,"&lt;&gt;Rejected",'Leave Log'!$B$5:$B$304,"CL")&gt;0,"CL",IF(COUNTIFS('Leave Log'!$A$5:$A$304,$A18,'Leave Log'!$C$5:$C$304,"&lt;="&amp;I$5,'Leave Log'!$D$5:$D$304,"&gt;="&amp;I$5,'Leave Log'!$F$5:$F$304,"&lt;&gt;Rejected",'Leave Log'!$B$5:$B$304,"UL")&gt;0,"UL",IF(COUNTIFS('Leave Log'!$A$5:$A$304,$A18,'Leave Log'!$C$5:$C$304,"&lt;="&amp;I$5,'Leave Log'!$D$5:$D$304,"&gt;="&amp;I$5,'Leave Log'!$F$5:$F$304,"&lt;&gt;Rejected",'Leave Log'!$B$5:$B$304,"OT")&gt;0,"OT",""))))))</f>
        <v/>
      </c>
      <c r="J18" s="12" t="str">
        <f aca="false">IF(OR(J$5="",$A18=""),"",IF(COUNTIFS('Leave Log'!$A$5:$A$304,$A18,'Leave Log'!$C$5:$C$304,"&lt;="&amp;J$5,'Leave Log'!$D$5:$D$304,"&gt;="&amp;J$5,'Leave Log'!$F$5:$F$304,"&lt;&gt;Rejected",'Leave Log'!$B$5:$B$304,"AL")&gt;0,"AL",IF(COUNTIFS('Leave Log'!$A$5:$A$304,$A18,'Leave Log'!$C$5:$C$304,"&lt;="&amp;J$5,'Leave Log'!$D$5:$D$304,"&gt;="&amp;J$5,'Leave Log'!$F$5:$F$304,"&lt;&gt;Rejected",'Leave Log'!$B$5:$B$304,"SL")&gt;0,"SL",IF(COUNTIFS('Leave Log'!$A$5:$A$304,$A18,'Leave Log'!$C$5:$C$304,"&lt;="&amp;J$5,'Leave Log'!$D$5:$D$304,"&gt;="&amp;J$5,'Leave Log'!$F$5:$F$304,"&lt;&gt;Rejected",'Leave Log'!$B$5:$B$304,"CL")&gt;0,"CL",IF(COUNTIFS('Leave Log'!$A$5:$A$304,$A18,'Leave Log'!$C$5:$C$304,"&lt;="&amp;J$5,'Leave Log'!$D$5:$D$304,"&gt;="&amp;J$5,'Leave Log'!$F$5:$F$304,"&lt;&gt;Rejected",'Leave Log'!$B$5:$B$304,"UL")&gt;0,"UL",IF(COUNTIFS('Leave Log'!$A$5:$A$304,$A18,'Leave Log'!$C$5:$C$304,"&lt;="&amp;J$5,'Leave Log'!$D$5:$D$304,"&gt;="&amp;J$5,'Leave Log'!$F$5:$F$304,"&lt;&gt;Rejected",'Leave Log'!$B$5:$B$304,"OT")&gt;0,"OT",""))))))</f>
        <v/>
      </c>
      <c r="K18" s="12" t="str">
        <f aca="false">IF(OR(K$5="",$A18=""),"",IF(COUNTIFS('Leave Log'!$A$5:$A$304,$A18,'Leave Log'!$C$5:$C$304,"&lt;="&amp;K$5,'Leave Log'!$D$5:$D$304,"&gt;="&amp;K$5,'Leave Log'!$F$5:$F$304,"&lt;&gt;Rejected",'Leave Log'!$B$5:$B$304,"AL")&gt;0,"AL",IF(COUNTIFS('Leave Log'!$A$5:$A$304,$A18,'Leave Log'!$C$5:$C$304,"&lt;="&amp;K$5,'Leave Log'!$D$5:$D$304,"&gt;="&amp;K$5,'Leave Log'!$F$5:$F$304,"&lt;&gt;Rejected",'Leave Log'!$B$5:$B$304,"SL")&gt;0,"SL",IF(COUNTIFS('Leave Log'!$A$5:$A$304,$A18,'Leave Log'!$C$5:$C$304,"&lt;="&amp;K$5,'Leave Log'!$D$5:$D$304,"&gt;="&amp;K$5,'Leave Log'!$F$5:$F$304,"&lt;&gt;Rejected",'Leave Log'!$B$5:$B$304,"CL")&gt;0,"CL",IF(COUNTIFS('Leave Log'!$A$5:$A$304,$A18,'Leave Log'!$C$5:$C$304,"&lt;="&amp;K$5,'Leave Log'!$D$5:$D$304,"&gt;="&amp;K$5,'Leave Log'!$F$5:$F$304,"&lt;&gt;Rejected",'Leave Log'!$B$5:$B$304,"UL")&gt;0,"UL",IF(COUNTIFS('Leave Log'!$A$5:$A$304,$A18,'Leave Log'!$C$5:$C$304,"&lt;="&amp;K$5,'Leave Log'!$D$5:$D$304,"&gt;="&amp;K$5,'Leave Log'!$F$5:$F$304,"&lt;&gt;Rejected",'Leave Log'!$B$5:$B$304,"OT")&gt;0,"OT",""))))))</f>
        <v/>
      </c>
      <c r="L18" s="12" t="str">
        <f aca="false">IF(OR(L$5="",$A18=""),"",IF(COUNTIFS('Leave Log'!$A$5:$A$304,$A18,'Leave Log'!$C$5:$C$304,"&lt;="&amp;L$5,'Leave Log'!$D$5:$D$304,"&gt;="&amp;L$5,'Leave Log'!$F$5:$F$304,"&lt;&gt;Rejected",'Leave Log'!$B$5:$B$304,"AL")&gt;0,"AL",IF(COUNTIFS('Leave Log'!$A$5:$A$304,$A18,'Leave Log'!$C$5:$C$304,"&lt;="&amp;L$5,'Leave Log'!$D$5:$D$304,"&gt;="&amp;L$5,'Leave Log'!$F$5:$F$304,"&lt;&gt;Rejected",'Leave Log'!$B$5:$B$304,"SL")&gt;0,"SL",IF(COUNTIFS('Leave Log'!$A$5:$A$304,$A18,'Leave Log'!$C$5:$C$304,"&lt;="&amp;L$5,'Leave Log'!$D$5:$D$304,"&gt;="&amp;L$5,'Leave Log'!$F$5:$F$304,"&lt;&gt;Rejected",'Leave Log'!$B$5:$B$304,"CL")&gt;0,"CL",IF(COUNTIFS('Leave Log'!$A$5:$A$304,$A18,'Leave Log'!$C$5:$C$304,"&lt;="&amp;L$5,'Leave Log'!$D$5:$D$304,"&gt;="&amp;L$5,'Leave Log'!$F$5:$F$304,"&lt;&gt;Rejected",'Leave Log'!$B$5:$B$304,"UL")&gt;0,"UL",IF(COUNTIFS('Leave Log'!$A$5:$A$304,$A18,'Leave Log'!$C$5:$C$304,"&lt;="&amp;L$5,'Leave Log'!$D$5:$D$304,"&gt;="&amp;L$5,'Leave Log'!$F$5:$F$304,"&lt;&gt;Rejected",'Leave Log'!$B$5:$B$304,"OT")&gt;0,"OT",""))))))</f>
        <v/>
      </c>
      <c r="M18" s="12" t="str">
        <f aca="false">IF(OR(M$5="",$A18=""),"",IF(COUNTIFS('Leave Log'!$A$5:$A$304,$A18,'Leave Log'!$C$5:$C$304,"&lt;="&amp;M$5,'Leave Log'!$D$5:$D$304,"&gt;="&amp;M$5,'Leave Log'!$F$5:$F$304,"&lt;&gt;Rejected",'Leave Log'!$B$5:$B$304,"AL")&gt;0,"AL",IF(COUNTIFS('Leave Log'!$A$5:$A$304,$A18,'Leave Log'!$C$5:$C$304,"&lt;="&amp;M$5,'Leave Log'!$D$5:$D$304,"&gt;="&amp;M$5,'Leave Log'!$F$5:$F$304,"&lt;&gt;Rejected",'Leave Log'!$B$5:$B$304,"SL")&gt;0,"SL",IF(COUNTIFS('Leave Log'!$A$5:$A$304,$A18,'Leave Log'!$C$5:$C$304,"&lt;="&amp;M$5,'Leave Log'!$D$5:$D$304,"&gt;="&amp;M$5,'Leave Log'!$F$5:$F$304,"&lt;&gt;Rejected",'Leave Log'!$B$5:$B$304,"CL")&gt;0,"CL",IF(COUNTIFS('Leave Log'!$A$5:$A$304,$A18,'Leave Log'!$C$5:$C$304,"&lt;="&amp;M$5,'Leave Log'!$D$5:$D$304,"&gt;="&amp;M$5,'Leave Log'!$F$5:$F$304,"&lt;&gt;Rejected",'Leave Log'!$B$5:$B$304,"UL")&gt;0,"UL",IF(COUNTIFS('Leave Log'!$A$5:$A$304,$A18,'Leave Log'!$C$5:$C$304,"&lt;="&amp;M$5,'Leave Log'!$D$5:$D$304,"&gt;="&amp;M$5,'Leave Log'!$F$5:$F$304,"&lt;&gt;Rejected",'Leave Log'!$B$5:$B$304,"OT")&gt;0,"OT",""))))))</f>
        <v/>
      </c>
      <c r="N18" s="12" t="str">
        <f aca="false">IF(OR(N$5="",$A18=""),"",IF(COUNTIFS('Leave Log'!$A$5:$A$304,$A18,'Leave Log'!$C$5:$C$304,"&lt;="&amp;N$5,'Leave Log'!$D$5:$D$304,"&gt;="&amp;N$5,'Leave Log'!$F$5:$F$304,"&lt;&gt;Rejected",'Leave Log'!$B$5:$B$304,"AL")&gt;0,"AL",IF(COUNTIFS('Leave Log'!$A$5:$A$304,$A18,'Leave Log'!$C$5:$C$304,"&lt;="&amp;N$5,'Leave Log'!$D$5:$D$304,"&gt;="&amp;N$5,'Leave Log'!$F$5:$F$304,"&lt;&gt;Rejected",'Leave Log'!$B$5:$B$304,"SL")&gt;0,"SL",IF(COUNTIFS('Leave Log'!$A$5:$A$304,$A18,'Leave Log'!$C$5:$C$304,"&lt;="&amp;N$5,'Leave Log'!$D$5:$D$304,"&gt;="&amp;N$5,'Leave Log'!$F$5:$F$304,"&lt;&gt;Rejected",'Leave Log'!$B$5:$B$304,"CL")&gt;0,"CL",IF(COUNTIFS('Leave Log'!$A$5:$A$304,$A18,'Leave Log'!$C$5:$C$304,"&lt;="&amp;N$5,'Leave Log'!$D$5:$D$304,"&gt;="&amp;N$5,'Leave Log'!$F$5:$F$304,"&lt;&gt;Rejected",'Leave Log'!$B$5:$B$304,"UL")&gt;0,"UL",IF(COUNTIFS('Leave Log'!$A$5:$A$304,$A18,'Leave Log'!$C$5:$C$304,"&lt;="&amp;N$5,'Leave Log'!$D$5:$D$304,"&gt;="&amp;N$5,'Leave Log'!$F$5:$F$304,"&lt;&gt;Rejected",'Leave Log'!$B$5:$B$304,"OT")&gt;0,"OT",""))))))</f>
        <v/>
      </c>
      <c r="O18" s="12" t="str">
        <f aca="false">IF(OR(O$5="",$A18=""),"",IF(COUNTIFS('Leave Log'!$A$5:$A$304,$A18,'Leave Log'!$C$5:$C$304,"&lt;="&amp;O$5,'Leave Log'!$D$5:$D$304,"&gt;="&amp;O$5,'Leave Log'!$F$5:$F$304,"&lt;&gt;Rejected",'Leave Log'!$B$5:$B$304,"AL")&gt;0,"AL",IF(COUNTIFS('Leave Log'!$A$5:$A$304,$A18,'Leave Log'!$C$5:$C$304,"&lt;="&amp;O$5,'Leave Log'!$D$5:$D$304,"&gt;="&amp;O$5,'Leave Log'!$F$5:$F$304,"&lt;&gt;Rejected",'Leave Log'!$B$5:$B$304,"SL")&gt;0,"SL",IF(COUNTIFS('Leave Log'!$A$5:$A$304,$A18,'Leave Log'!$C$5:$C$304,"&lt;="&amp;O$5,'Leave Log'!$D$5:$D$304,"&gt;="&amp;O$5,'Leave Log'!$F$5:$F$304,"&lt;&gt;Rejected",'Leave Log'!$B$5:$B$304,"CL")&gt;0,"CL",IF(COUNTIFS('Leave Log'!$A$5:$A$304,$A18,'Leave Log'!$C$5:$C$304,"&lt;="&amp;O$5,'Leave Log'!$D$5:$D$304,"&gt;="&amp;O$5,'Leave Log'!$F$5:$F$304,"&lt;&gt;Rejected",'Leave Log'!$B$5:$B$304,"UL")&gt;0,"UL",IF(COUNTIFS('Leave Log'!$A$5:$A$304,$A18,'Leave Log'!$C$5:$C$304,"&lt;="&amp;O$5,'Leave Log'!$D$5:$D$304,"&gt;="&amp;O$5,'Leave Log'!$F$5:$F$304,"&lt;&gt;Rejected",'Leave Log'!$B$5:$B$304,"OT")&gt;0,"OT",""))))))</f>
        <v/>
      </c>
      <c r="P18" s="12" t="str">
        <f aca="false">IF(OR(P$5="",$A18=""),"",IF(COUNTIFS('Leave Log'!$A$5:$A$304,$A18,'Leave Log'!$C$5:$C$304,"&lt;="&amp;P$5,'Leave Log'!$D$5:$D$304,"&gt;="&amp;P$5,'Leave Log'!$F$5:$F$304,"&lt;&gt;Rejected",'Leave Log'!$B$5:$B$304,"AL")&gt;0,"AL",IF(COUNTIFS('Leave Log'!$A$5:$A$304,$A18,'Leave Log'!$C$5:$C$304,"&lt;="&amp;P$5,'Leave Log'!$D$5:$D$304,"&gt;="&amp;P$5,'Leave Log'!$F$5:$F$304,"&lt;&gt;Rejected",'Leave Log'!$B$5:$B$304,"SL")&gt;0,"SL",IF(COUNTIFS('Leave Log'!$A$5:$A$304,$A18,'Leave Log'!$C$5:$C$304,"&lt;="&amp;P$5,'Leave Log'!$D$5:$D$304,"&gt;="&amp;P$5,'Leave Log'!$F$5:$F$304,"&lt;&gt;Rejected",'Leave Log'!$B$5:$B$304,"CL")&gt;0,"CL",IF(COUNTIFS('Leave Log'!$A$5:$A$304,$A18,'Leave Log'!$C$5:$C$304,"&lt;="&amp;P$5,'Leave Log'!$D$5:$D$304,"&gt;="&amp;P$5,'Leave Log'!$F$5:$F$304,"&lt;&gt;Rejected",'Leave Log'!$B$5:$B$304,"UL")&gt;0,"UL",IF(COUNTIFS('Leave Log'!$A$5:$A$304,$A18,'Leave Log'!$C$5:$C$304,"&lt;="&amp;P$5,'Leave Log'!$D$5:$D$304,"&gt;="&amp;P$5,'Leave Log'!$F$5:$F$304,"&lt;&gt;Rejected",'Leave Log'!$B$5:$B$304,"OT")&gt;0,"OT",""))))))</f>
        <v/>
      </c>
      <c r="Q18" s="12" t="str">
        <f aca="false">IF(OR(Q$5="",$A18=""),"",IF(COUNTIFS('Leave Log'!$A$5:$A$304,$A18,'Leave Log'!$C$5:$C$304,"&lt;="&amp;Q$5,'Leave Log'!$D$5:$D$304,"&gt;="&amp;Q$5,'Leave Log'!$F$5:$F$304,"&lt;&gt;Rejected",'Leave Log'!$B$5:$B$304,"AL")&gt;0,"AL",IF(COUNTIFS('Leave Log'!$A$5:$A$304,$A18,'Leave Log'!$C$5:$C$304,"&lt;="&amp;Q$5,'Leave Log'!$D$5:$D$304,"&gt;="&amp;Q$5,'Leave Log'!$F$5:$F$304,"&lt;&gt;Rejected",'Leave Log'!$B$5:$B$304,"SL")&gt;0,"SL",IF(COUNTIFS('Leave Log'!$A$5:$A$304,$A18,'Leave Log'!$C$5:$C$304,"&lt;="&amp;Q$5,'Leave Log'!$D$5:$D$304,"&gt;="&amp;Q$5,'Leave Log'!$F$5:$F$304,"&lt;&gt;Rejected",'Leave Log'!$B$5:$B$304,"CL")&gt;0,"CL",IF(COUNTIFS('Leave Log'!$A$5:$A$304,$A18,'Leave Log'!$C$5:$C$304,"&lt;="&amp;Q$5,'Leave Log'!$D$5:$D$304,"&gt;="&amp;Q$5,'Leave Log'!$F$5:$F$304,"&lt;&gt;Rejected",'Leave Log'!$B$5:$B$304,"UL")&gt;0,"UL",IF(COUNTIFS('Leave Log'!$A$5:$A$304,$A18,'Leave Log'!$C$5:$C$304,"&lt;="&amp;Q$5,'Leave Log'!$D$5:$D$304,"&gt;="&amp;Q$5,'Leave Log'!$F$5:$F$304,"&lt;&gt;Rejected",'Leave Log'!$B$5:$B$304,"OT")&gt;0,"OT",""))))))</f>
        <v/>
      </c>
      <c r="R18" s="12" t="str">
        <f aca="false">IF(OR(R$5="",$A18=""),"",IF(COUNTIFS('Leave Log'!$A$5:$A$304,$A18,'Leave Log'!$C$5:$C$304,"&lt;="&amp;R$5,'Leave Log'!$D$5:$D$304,"&gt;="&amp;R$5,'Leave Log'!$F$5:$F$304,"&lt;&gt;Rejected",'Leave Log'!$B$5:$B$304,"AL")&gt;0,"AL",IF(COUNTIFS('Leave Log'!$A$5:$A$304,$A18,'Leave Log'!$C$5:$C$304,"&lt;="&amp;R$5,'Leave Log'!$D$5:$D$304,"&gt;="&amp;R$5,'Leave Log'!$F$5:$F$304,"&lt;&gt;Rejected",'Leave Log'!$B$5:$B$304,"SL")&gt;0,"SL",IF(COUNTIFS('Leave Log'!$A$5:$A$304,$A18,'Leave Log'!$C$5:$C$304,"&lt;="&amp;R$5,'Leave Log'!$D$5:$D$304,"&gt;="&amp;R$5,'Leave Log'!$F$5:$F$304,"&lt;&gt;Rejected",'Leave Log'!$B$5:$B$304,"CL")&gt;0,"CL",IF(COUNTIFS('Leave Log'!$A$5:$A$304,$A18,'Leave Log'!$C$5:$C$304,"&lt;="&amp;R$5,'Leave Log'!$D$5:$D$304,"&gt;="&amp;R$5,'Leave Log'!$F$5:$F$304,"&lt;&gt;Rejected",'Leave Log'!$B$5:$B$304,"UL")&gt;0,"UL",IF(COUNTIFS('Leave Log'!$A$5:$A$304,$A18,'Leave Log'!$C$5:$C$304,"&lt;="&amp;R$5,'Leave Log'!$D$5:$D$304,"&gt;="&amp;R$5,'Leave Log'!$F$5:$F$304,"&lt;&gt;Rejected",'Leave Log'!$B$5:$B$304,"OT")&gt;0,"OT",""))))))</f>
        <v/>
      </c>
      <c r="S18" s="12" t="str">
        <f aca="false">IF(OR(S$5="",$A18=""),"",IF(COUNTIFS('Leave Log'!$A$5:$A$304,$A18,'Leave Log'!$C$5:$C$304,"&lt;="&amp;S$5,'Leave Log'!$D$5:$D$304,"&gt;="&amp;S$5,'Leave Log'!$F$5:$F$304,"&lt;&gt;Rejected",'Leave Log'!$B$5:$B$304,"AL")&gt;0,"AL",IF(COUNTIFS('Leave Log'!$A$5:$A$304,$A18,'Leave Log'!$C$5:$C$304,"&lt;="&amp;S$5,'Leave Log'!$D$5:$D$304,"&gt;="&amp;S$5,'Leave Log'!$F$5:$F$304,"&lt;&gt;Rejected",'Leave Log'!$B$5:$B$304,"SL")&gt;0,"SL",IF(COUNTIFS('Leave Log'!$A$5:$A$304,$A18,'Leave Log'!$C$5:$C$304,"&lt;="&amp;S$5,'Leave Log'!$D$5:$D$304,"&gt;="&amp;S$5,'Leave Log'!$F$5:$F$304,"&lt;&gt;Rejected",'Leave Log'!$B$5:$B$304,"CL")&gt;0,"CL",IF(COUNTIFS('Leave Log'!$A$5:$A$304,$A18,'Leave Log'!$C$5:$C$304,"&lt;="&amp;S$5,'Leave Log'!$D$5:$D$304,"&gt;="&amp;S$5,'Leave Log'!$F$5:$F$304,"&lt;&gt;Rejected",'Leave Log'!$B$5:$B$304,"UL")&gt;0,"UL",IF(COUNTIFS('Leave Log'!$A$5:$A$304,$A18,'Leave Log'!$C$5:$C$304,"&lt;="&amp;S$5,'Leave Log'!$D$5:$D$304,"&gt;="&amp;S$5,'Leave Log'!$F$5:$F$304,"&lt;&gt;Rejected",'Leave Log'!$B$5:$B$304,"OT")&gt;0,"OT",""))))))</f>
        <v/>
      </c>
      <c r="T18" s="12" t="str">
        <f aca="false">IF(OR(T$5="",$A18=""),"",IF(COUNTIFS('Leave Log'!$A$5:$A$304,$A18,'Leave Log'!$C$5:$C$304,"&lt;="&amp;T$5,'Leave Log'!$D$5:$D$304,"&gt;="&amp;T$5,'Leave Log'!$F$5:$F$304,"&lt;&gt;Rejected",'Leave Log'!$B$5:$B$304,"AL")&gt;0,"AL",IF(COUNTIFS('Leave Log'!$A$5:$A$304,$A18,'Leave Log'!$C$5:$C$304,"&lt;="&amp;T$5,'Leave Log'!$D$5:$D$304,"&gt;="&amp;T$5,'Leave Log'!$F$5:$F$304,"&lt;&gt;Rejected",'Leave Log'!$B$5:$B$304,"SL")&gt;0,"SL",IF(COUNTIFS('Leave Log'!$A$5:$A$304,$A18,'Leave Log'!$C$5:$C$304,"&lt;="&amp;T$5,'Leave Log'!$D$5:$D$304,"&gt;="&amp;T$5,'Leave Log'!$F$5:$F$304,"&lt;&gt;Rejected",'Leave Log'!$B$5:$B$304,"CL")&gt;0,"CL",IF(COUNTIFS('Leave Log'!$A$5:$A$304,$A18,'Leave Log'!$C$5:$C$304,"&lt;="&amp;T$5,'Leave Log'!$D$5:$D$304,"&gt;="&amp;T$5,'Leave Log'!$F$5:$F$304,"&lt;&gt;Rejected",'Leave Log'!$B$5:$B$304,"UL")&gt;0,"UL",IF(COUNTIFS('Leave Log'!$A$5:$A$304,$A18,'Leave Log'!$C$5:$C$304,"&lt;="&amp;T$5,'Leave Log'!$D$5:$D$304,"&gt;="&amp;T$5,'Leave Log'!$F$5:$F$304,"&lt;&gt;Rejected",'Leave Log'!$B$5:$B$304,"OT")&gt;0,"OT",""))))))</f>
        <v/>
      </c>
      <c r="U18" s="12" t="str">
        <f aca="false">IF(OR(U$5="",$A18=""),"",IF(COUNTIFS('Leave Log'!$A$5:$A$304,$A18,'Leave Log'!$C$5:$C$304,"&lt;="&amp;U$5,'Leave Log'!$D$5:$D$304,"&gt;="&amp;U$5,'Leave Log'!$F$5:$F$304,"&lt;&gt;Rejected",'Leave Log'!$B$5:$B$304,"AL")&gt;0,"AL",IF(COUNTIFS('Leave Log'!$A$5:$A$304,$A18,'Leave Log'!$C$5:$C$304,"&lt;="&amp;U$5,'Leave Log'!$D$5:$D$304,"&gt;="&amp;U$5,'Leave Log'!$F$5:$F$304,"&lt;&gt;Rejected",'Leave Log'!$B$5:$B$304,"SL")&gt;0,"SL",IF(COUNTIFS('Leave Log'!$A$5:$A$304,$A18,'Leave Log'!$C$5:$C$304,"&lt;="&amp;U$5,'Leave Log'!$D$5:$D$304,"&gt;="&amp;U$5,'Leave Log'!$F$5:$F$304,"&lt;&gt;Rejected",'Leave Log'!$B$5:$B$304,"CL")&gt;0,"CL",IF(COUNTIFS('Leave Log'!$A$5:$A$304,$A18,'Leave Log'!$C$5:$C$304,"&lt;="&amp;U$5,'Leave Log'!$D$5:$D$304,"&gt;="&amp;U$5,'Leave Log'!$F$5:$F$304,"&lt;&gt;Rejected",'Leave Log'!$B$5:$B$304,"UL")&gt;0,"UL",IF(COUNTIFS('Leave Log'!$A$5:$A$304,$A18,'Leave Log'!$C$5:$C$304,"&lt;="&amp;U$5,'Leave Log'!$D$5:$D$304,"&gt;="&amp;U$5,'Leave Log'!$F$5:$F$304,"&lt;&gt;Rejected",'Leave Log'!$B$5:$B$304,"OT")&gt;0,"OT",""))))))</f>
        <v/>
      </c>
      <c r="V18" s="12" t="str">
        <f aca="false">IF(OR(V$5="",$A18=""),"",IF(COUNTIFS('Leave Log'!$A$5:$A$304,$A18,'Leave Log'!$C$5:$C$304,"&lt;="&amp;V$5,'Leave Log'!$D$5:$D$304,"&gt;="&amp;V$5,'Leave Log'!$F$5:$F$304,"&lt;&gt;Rejected",'Leave Log'!$B$5:$B$304,"AL")&gt;0,"AL",IF(COUNTIFS('Leave Log'!$A$5:$A$304,$A18,'Leave Log'!$C$5:$C$304,"&lt;="&amp;V$5,'Leave Log'!$D$5:$D$304,"&gt;="&amp;V$5,'Leave Log'!$F$5:$F$304,"&lt;&gt;Rejected",'Leave Log'!$B$5:$B$304,"SL")&gt;0,"SL",IF(COUNTIFS('Leave Log'!$A$5:$A$304,$A18,'Leave Log'!$C$5:$C$304,"&lt;="&amp;V$5,'Leave Log'!$D$5:$D$304,"&gt;="&amp;V$5,'Leave Log'!$F$5:$F$304,"&lt;&gt;Rejected",'Leave Log'!$B$5:$B$304,"CL")&gt;0,"CL",IF(COUNTIFS('Leave Log'!$A$5:$A$304,$A18,'Leave Log'!$C$5:$C$304,"&lt;="&amp;V$5,'Leave Log'!$D$5:$D$304,"&gt;="&amp;V$5,'Leave Log'!$F$5:$F$304,"&lt;&gt;Rejected",'Leave Log'!$B$5:$B$304,"UL")&gt;0,"UL",IF(COUNTIFS('Leave Log'!$A$5:$A$304,$A18,'Leave Log'!$C$5:$C$304,"&lt;="&amp;V$5,'Leave Log'!$D$5:$D$304,"&gt;="&amp;V$5,'Leave Log'!$F$5:$F$304,"&lt;&gt;Rejected",'Leave Log'!$B$5:$B$304,"OT")&gt;0,"OT",""))))))</f>
        <v/>
      </c>
      <c r="W18" s="12" t="str">
        <f aca="false">IF(OR(W$5="",$A18=""),"",IF(COUNTIFS('Leave Log'!$A$5:$A$304,$A18,'Leave Log'!$C$5:$C$304,"&lt;="&amp;W$5,'Leave Log'!$D$5:$D$304,"&gt;="&amp;W$5,'Leave Log'!$F$5:$F$304,"&lt;&gt;Rejected",'Leave Log'!$B$5:$B$304,"AL")&gt;0,"AL",IF(COUNTIFS('Leave Log'!$A$5:$A$304,$A18,'Leave Log'!$C$5:$C$304,"&lt;="&amp;W$5,'Leave Log'!$D$5:$D$304,"&gt;="&amp;W$5,'Leave Log'!$F$5:$F$304,"&lt;&gt;Rejected",'Leave Log'!$B$5:$B$304,"SL")&gt;0,"SL",IF(COUNTIFS('Leave Log'!$A$5:$A$304,$A18,'Leave Log'!$C$5:$C$304,"&lt;="&amp;W$5,'Leave Log'!$D$5:$D$304,"&gt;="&amp;W$5,'Leave Log'!$F$5:$F$304,"&lt;&gt;Rejected",'Leave Log'!$B$5:$B$304,"CL")&gt;0,"CL",IF(COUNTIFS('Leave Log'!$A$5:$A$304,$A18,'Leave Log'!$C$5:$C$304,"&lt;="&amp;W$5,'Leave Log'!$D$5:$D$304,"&gt;="&amp;W$5,'Leave Log'!$F$5:$F$304,"&lt;&gt;Rejected",'Leave Log'!$B$5:$B$304,"UL")&gt;0,"UL",IF(COUNTIFS('Leave Log'!$A$5:$A$304,$A18,'Leave Log'!$C$5:$C$304,"&lt;="&amp;W$5,'Leave Log'!$D$5:$D$304,"&gt;="&amp;W$5,'Leave Log'!$F$5:$F$304,"&lt;&gt;Rejected",'Leave Log'!$B$5:$B$304,"OT")&gt;0,"OT",""))))))</f>
        <v/>
      </c>
      <c r="X18" s="12" t="str">
        <f aca="false">IF(OR(X$5="",$A18=""),"",IF(COUNTIFS('Leave Log'!$A$5:$A$304,$A18,'Leave Log'!$C$5:$C$304,"&lt;="&amp;X$5,'Leave Log'!$D$5:$D$304,"&gt;="&amp;X$5,'Leave Log'!$F$5:$F$304,"&lt;&gt;Rejected",'Leave Log'!$B$5:$B$304,"AL")&gt;0,"AL",IF(COUNTIFS('Leave Log'!$A$5:$A$304,$A18,'Leave Log'!$C$5:$C$304,"&lt;="&amp;X$5,'Leave Log'!$D$5:$D$304,"&gt;="&amp;X$5,'Leave Log'!$F$5:$F$304,"&lt;&gt;Rejected",'Leave Log'!$B$5:$B$304,"SL")&gt;0,"SL",IF(COUNTIFS('Leave Log'!$A$5:$A$304,$A18,'Leave Log'!$C$5:$C$304,"&lt;="&amp;X$5,'Leave Log'!$D$5:$D$304,"&gt;="&amp;X$5,'Leave Log'!$F$5:$F$304,"&lt;&gt;Rejected",'Leave Log'!$B$5:$B$304,"CL")&gt;0,"CL",IF(COUNTIFS('Leave Log'!$A$5:$A$304,$A18,'Leave Log'!$C$5:$C$304,"&lt;="&amp;X$5,'Leave Log'!$D$5:$D$304,"&gt;="&amp;X$5,'Leave Log'!$F$5:$F$304,"&lt;&gt;Rejected",'Leave Log'!$B$5:$B$304,"UL")&gt;0,"UL",IF(COUNTIFS('Leave Log'!$A$5:$A$304,$A18,'Leave Log'!$C$5:$C$304,"&lt;="&amp;X$5,'Leave Log'!$D$5:$D$304,"&gt;="&amp;X$5,'Leave Log'!$F$5:$F$304,"&lt;&gt;Rejected",'Leave Log'!$B$5:$B$304,"OT")&gt;0,"OT",""))))))</f>
        <v/>
      </c>
      <c r="Y18" s="12" t="str">
        <f aca="false">IF(OR(Y$5="",$A18=""),"",IF(COUNTIFS('Leave Log'!$A$5:$A$304,$A18,'Leave Log'!$C$5:$C$304,"&lt;="&amp;Y$5,'Leave Log'!$D$5:$D$304,"&gt;="&amp;Y$5,'Leave Log'!$F$5:$F$304,"&lt;&gt;Rejected",'Leave Log'!$B$5:$B$304,"AL")&gt;0,"AL",IF(COUNTIFS('Leave Log'!$A$5:$A$304,$A18,'Leave Log'!$C$5:$C$304,"&lt;="&amp;Y$5,'Leave Log'!$D$5:$D$304,"&gt;="&amp;Y$5,'Leave Log'!$F$5:$F$304,"&lt;&gt;Rejected",'Leave Log'!$B$5:$B$304,"SL")&gt;0,"SL",IF(COUNTIFS('Leave Log'!$A$5:$A$304,$A18,'Leave Log'!$C$5:$C$304,"&lt;="&amp;Y$5,'Leave Log'!$D$5:$D$304,"&gt;="&amp;Y$5,'Leave Log'!$F$5:$F$304,"&lt;&gt;Rejected",'Leave Log'!$B$5:$B$304,"CL")&gt;0,"CL",IF(COUNTIFS('Leave Log'!$A$5:$A$304,$A18,'Leave Log'!$C$5:$C$304,"&lt;="&amp;Y$5,'Leave Log'!$D$5:$D$304,"&gt;="&amp;Y$5,'Leave Log'!$F$5:$F$304,"&lt;&gt;Rejected",'Leave Log'!$B$5:$B$304,"UL")&gt;0,"UL",IF(COUNTIFS('Leave Log'!$A$5:$A$304,$A18,'Leave Log'!$C$5:$C$304,"&lt;="&amp;Y$5,'Leave Log'!$D$5:$D$304,"&gt;="&amp;Y$5,'Leave Log'!$F$5:$F$304,"&lt;&gt;Rejected",'Leave Log'!$B$5:$B$304,"OT")&gt;0,"OT",""))))))</f>
        <v/>
      </c>
      <c r="Z18" s="12" t="str">
        <f aca="false">IF(OR(Z$5="",$A18=""),"",IF(COUNTIFS('Leave Log'!$A$5:$A$304,$A18,'Leave Log'!$C$5:$C$304,"&lt;="&amp;Z$5,'Leave Log'!$D$5:$D$304,"&gt;="&amp;Z$5,'Leave Log'!$F$5:$F$304,"&lt;&gt;Rejected",'Leave Log'!$B$5:$B$304,"AL")&gt;0,"AL",IF(COUNTIFS('Leave Log'!$A$5:$A$304,$A18,'Leave Log'!$C$5:$C$304,"&lt;="&amp;Z$5,'Leave Log'!$D$5:$D$304,"&gt;="&amp;Z$5,'Leave Log'!$F$5:$F$304,"&lt;&gt;Rejected",'Leave Log'!$B$5:$B$304,"SL")&gt;0,"SL",IF(COUNTIFS('Leave Log'!$A$5:$A$304,$A18,'Leave Log'!$C$5:$C$304,"&lt;="&amp;Z$5,'Leave Log'!$D$5:$D$304,"&gt;="&amp;Z$5,'Leave Log'!$F$5:$F$304,"&lt;&gt;Rejected",'Leave Log'!$B$5:$B$304,"CL")&gt;0,"CL",IF(COUNTIFS('Leave Log'!$A$5:$A$304,$A18,'Leave Log'!$C$5:$C$304,"&lt;="&amp;Z$5,'Leave Log'!$D$5:$D$304,"&gt;="&amp;Z$5,'Leave Log'!$F$5:$F$304,"&lt;&gt;Rejected",'Leave Log'!$B$5:$B$304,"UL")&gt;0,"UL",IF(COUNTIFS('Leave Log'!$A$5:$A$304,$A18,'Leave Log'!$C$5:$C$304,"&lt;="&amp;Z$5,'Leave Log'!$D$5:$D$304,"&gt;="&amp;Z$5,'Leave Log'!$F$5:$F$304,"&lt;&gt;Rejected",'Leave Log'!$B$5:$B$304,"OT")&gt;0,"OT",""))))))</f>
        <v/>
      </c>
      <c r="AA18" s="12" t="str">
        <f aca="false">IF(OR(AA$5="",$A18=""),"",IF(COUNTIFS('Leave Log'!$A$5:$A$304,$A18,'Leave Log'!$C$5:$C$304,"&lt;="&amp;AA$5,'Leave Log'!$D$5:$D$304,"&gt;="&amp;AA$5,'Leave Log'!$F$5:$F$304,"&lt;&gt;Rejected",'Leave Log'!$B$5:$B$304,"AL")&gt;0,"AL",IF(COUNTIFS('Leave Log'!$A$5:$A$304,$A18,'Leave Log'!$C$5:$C$304,"&lt;="&amp;AA$5,'Leave Log'!$D$5:$D$304,"&gt;="&amp;AA$5,'Leave Log'!$F$5:$F$304,"&lt;&gt;Rejected",'Leave Log'!$B$5:$B$304,"SL")&gt;0,"SL",IF(COUNTIFS('Leave Log'!$A$5:$A$304,$A18,'Leave Log'!$C$5:$C$304,"&lt;="&amp;AA$5,'Leave Log'!$D$5:$D$304,"&gt;="&amp;AA$5,'Leave Log'!$F$5:$F$304,"&lt;&gt;Rejected",'Leave Log'!$B$5:$B$304,"CL")&gt;0,"CL",IF(COUNTIFS('Leave Log'!$A$5:$A$304,$A18,'Leave Log'!$C$5:$C$304,"&lt;="&amp;AA$5,'Leave Log'!$D$5:$D$304,"&gt;="&amp;AA$5,'Leave Log'!$F$5:$F$304,"&lt;&gt;Rejected",'Leave Log'!$B$5:$B$304,"UL")&gt;0,"UL",IF(COUNTIFS('Leave Log'!$A$5:$A$304,$A18,'Leave Log'!$C$5:$C$304,"&lt;="&amp;AA$5,'Leave Log'!$D$5:$D$304,"&gt;="&amp;AA$5,'Leave Log'!$F$5:$F$304,"&lt;&gt;Rejected",'Leave Log'!$B$5:$B$304,"OT")&gt;0,"OT",""))))))</f>
        <v/>
      </c>
      <c r="AB18" s="12" t="str">
        <f aca="false">IF(OR(AB$5="",$A18=""),"",IF(COUNTIFS('Leave Log'!$A$5:$A$304,$A18,'Leave Log'!$C$5:$C$304,"&lt;="&amp;AB$5,'Leave Log'!$D$5:$D$304,"&gt;="&amp;AB$5,'Leave Log'!$F$5:$F$304,"&lt;&gt;Rejected",'Leave Log'!$B$5:$B$304,"AL")&gt;0,"AL",IF(COUNTIFS('Leave Log'!$A$5:$A$304,$A18,'Leave Log'!$C$5:$C$304,"&lt;="&amp;AB$5,'Leave Log'!$D$5:$D$304,"&gt;="&amp;AB$5,'Leave Log'!$F$5:$F$304,"&lt;&gt;Rejected",'Leave Log'!$B$5:$B$304,"SL")&gt;0,"SL",IF(COUNTIFS('Leave Log'!$A$5:$A$304,$A18,'Leave Log'!$C$5:$C$304,"&lt;="&amp;AB$5,'Leave Log'!$D$5:$D$304,"&gt;="&amp;AB$5,'Leave Log'!$F$5:$F$304,"&lt;&gt;Rejected",'Leave Log'!$B$5:$B$304,"CL")&gt;0,"CL",IF(COUNTIFS('Leave Log'!$A$5:$A$304,$A18,'Leave Log'!$C$5:$C$304,"&lt;="&amp;AB$5,'Leave Log'!$D$5:$D$304,"&gt;="&amp;AB$5,'Leave Log'!$F$5:$F$304,"&lt;&gt;Rejected",'Leave Log'!$B$5:$B$304,"UL")&gt;0,"UL",IF(COUNTIFS('Leave Log'!$A$5:$A$304,$A18,'Leave Log'!$C$5:$C$304,"&lt;="&amp;AB$5,'Leave Log'!$D$5:$D$304,"&gt;="&amp;AB$5,'Leave Log'!$F$5:$F$304,"&lt;&gt;Rejected",'Leave Log'!$B$5:$B$304,"OT")&gt;0,"OT",""))))))</f>
        <v/>
      </c>
      <c r="AC18" s="12" t="str">
        <f aca="false">IF(OR(AC$5="",$A18=""),"",IF(COUNTIFS('Leave Log'!$A$5:$A$304,$A18,'Leave Log'!$C$5:$C$304,"&lt;="&amp;AC$5,'Leave Log'!$D$5:$D$304,"&gt;="&amp;AC$5,'Leave Log'!$F$5:$F$304,"&lt;&gt;Rejected",'Leave Log'!$B$5:$B$304,"AL")&gt;0,"AL",IF(COUNTIFS('Leave Log'!$A$5:$A$304,$A18,'Leave Log'!$C$5:$C$304,"&lt;="&amp;AC$5,'Leave Log'!$D$5:$D$304,"&gt;="&amp;AC$5,'Leave Log'!$F$5:$F$304,"&lt;&gt;Rejected",'Leave Log'!$B$5:$B$304,"SL")&gt;0,"SL",IF(COUNTIFS('Leave Log'!$A$5:$A$304,$A18,'Leave Log'!$C$5:$C$304,"&lt;="&amp;AC$5,'Leave Log'!$D$5:$D$304,"&gt;="&amp;AC$5,'Leave Log'!$F$5:$F$304,"&lt;&gt;Rejected",'Leave Log'!$B$5:$B$304,"CL")&gt;0,"CL",IF(COUNTIFS('Leave Log'!$A$5:$A$304,$A18,'Leave Log'!$C$5:$C$304,"&lt;="&amp;AC$5,'Leave Log'!$D$5:$D$304,"&gt;="&amp;AC$5,'Leave Log'!$F$5:$F$304,"&lt;&gt;Rejected",'Leave Log'!$B$5:$B$304,"UL")&gt;0,"UL",IF(COUNTIFS('Leave Log'!$A$5:$A$304,$A18,'Leave Log'!$C$5:$C$304,"&lt;="&amp;AC$5,'Leave Log'!$D$5:$D$304,"&gt;="&amp;AC$5,'Leave Log'!$F$5:$F$304,"&lt;&gt;Rejected",'Leave Log'!$B$5:$B$304,"OT")&gt;0,"OT",""))))))</f>
        <v/>
      </c>
      <c r="AD18" s="12" t="str">
        <f aca="false">IF(OR(AD$5="",$A18=""),"",IF(COUNTIFS('Leave Log'!$A$5:$A$304,$A18,'Leave Log'!$C$5:$C$304,"&lt;="&amp;AD$5,'Leave Log'!$D$5:$D$304,"&gt;="&amp;AD$5,'Leave Log'!$F$5:$F$304,"&lt;&gt;Rejected",'Leave Log'!$B$5:$B$304,"AL")&gt;0,"AL",IF(COUNTIFS('Leave Log'!$A$5:$A$304,$A18,'Leave Log'!$C$5:$C$304,"&lt;="&amp;AD$5,'Leave Log'!$D$5:$D$304,"&gt;="&amp;AD$5,'Leave Log'!$F$5:$F$304,"&lt;&gt;Rejected",'Leave Log'!$B$5:$B$304,"SL")&gt;0,"SL",IF(COUNTIFS('Leave Log'!$A$5:$A$304,$A18,'Leave Log'!$C$5:$C$304,"&lt;="&amp;AD$5,'Leave Log'!$D$5:$D$304,"&gt;="&amp;AD$5,'Leave Log'!$F$5:$F$304,"&lt;&gt;Rejected",'Leave Log'!$B$5:$B$304,"CL")&gt;0,"CL",IF(COUNTIFS('Leave Log'!$A$5:$A$304,$A18,'Leave Log'!$C$5:$C$304,"&lt;="&amp;AD$5,'Leave Log'!$D$5:$D$304,"&gt;="&amp;AD$5,'Leave Log'!$F$5:$F$304,"&lt;&gt;Rejected",'Leave Log'!$B$5:$B$304,"UL")&gt;0,"UL",IF(COUNTIFS('Leave Log'!$A$5:$A$304,$A18,'Leave Log'!$C$5:$C$304,"&lt;="&amp;AD$5,'Leave Log'!$D$5:$D$304,"&gt;="&amp;AD$5,'Leave Log'!$F$5:$F$304,"&lt;&gt;Rejected",'Leave Log'!$B$5:$B$304,"OT")&gt;0,"OT",""))))))</f>
        <v/>
      </c>
      <c r="AE18" s="12" t="str">
        <f aca="false">IF(OR(AE$5="",$A18=""),"",IF(COUNTIFS('Leave Log'!$A$5:$A$304,$A18,'Leave Log'!$C$5:$C$304,"&lt;="&amp;AE$5,'Leave Log'!$D$5:$D$304,"&gt;="&amp;AE$5,'Leave Log'!$F$5:$F$304,"&lt;&gt;Rejected",'Leave Log'!$B$5:$B$304,"AL")&gt;0,"AL",IF(COUNTIFS('Leave Log'!$A$5:$A$304,$A18,'Leave Log'!$C$5:$C$304,"&lt;="&amp;AE$5,'Leave Log'!$D$5:$D$304,"&gt;="&amp;AE$5,'Leave Log'!$F$5:$F$304,"&lt;&gt;Rejected",'Leave Log'!$B$5:$B$304,"SL")&gt;0,"SL",IF(COUNTIFS('Leave Log'!$A$5:$A$304,$A18,'Leave Log'!$C$5:$C$304,"&lt;="&amp;AE$5,'Leave Log'!$D$5:$D$304,"&gt;="&amp;AE$5,'Leave Log'!$F$5:$F$304,"&lt;&gt;Rejected",'Leave Log'!$B$5:$B$304,"CL")&gt;0,"CL",IF(COUNTIFS('Leave Log'!$A$5:$A$304,$A18,'Leave Log'!$C$5:$C$304,"&lt;="&amp;AE$5,'Leave Log'!$D$5:$D$304,"&gt;="&amp;AE$5,'Leave Log'!$F$5:$F$304,"&lt;&gt;Rejected",'Leave Log'!$B$5:$B$304,"UL")&gt;0,"UL",IF(COUNTIFS('Leave Log'!$A$5:$A$304,$A18,'Leave Log'!$C$5:$C$304,"&lt;="&amp;AE$5,'Leave Log'!$D$5:$D$304,"&gt;="&amp;AE$5,'Leave Log'!$F$5:$F$304,"&lt;&gt;Rejected",'Leave Log'!$B$5:$B$304,"OT")&gt;0,"OT",""))))))</f>
        <v/>
      </c>
      <c r="AF18" s="12" t="str">
        <f aca="false">IF(OR(AF$5="",$A18=""),"",IF(COUNTIFS('Leave Log'!$A$5:$A$304,$A18,'Leave Log'!$C$5:$C$304,"&lt;="&amp;AF$5,'Leave Log'!$D$5:$D$304,"&gt;="&amp;AF$5,'Leave Log'!$F$5:$F$304,"&lt;&gt;Rejected",'Leave Log'!$B$5:$B$304,"AL")&gt;0,"AL",IF(COUNTIFS('Leave Log'!$A$5:$A$304,$A18,'Leave Log'!$C$5:$C$304,"&lt;="&amp;AF$5,'Leave Log'!$D$5:$D$304,"&gt;="&amp;AF$5,'Leave Log'!$F$5:$F$304,"&lt;&gt;Rejected",'Leave Log'!$B$5:$B$304,"SL")&gt;0,"SL",IF(COUNTIFS('Leave Log'!$A$5:$A$304,$A18,'Leave Log'!$C$5:$C$304,"&lt;="&amp;AF$5,'Leave Log'!$D$5:$D$304,"&gt;="&amp;AF$5,'Leave Log'!$F$5:$F$304,"&lt;&gt;Rejected",'Leave Log'!$B$5:$B$304,"CL")&gt;0,"CL",IF(COUNTIFS('Leave Log'!$A$5:$A$304,$A18,'Leave Log'!$C$5:$C$304,"&lt;="&amp;AF$5,'Leave Log'!$D$5:$D$304,"&gt;="&amp;AF$5,'Leave Log'!$F$5:$F$304,"&lt;&gt;Rejected",'Leave Log'!$B$5:$B$304,"UL")&gt;0,"UL",IF(COUNTIFS('Leave Log'!$A$5:$A$304,$A18,'Leave Log'!$C$5:$C$304,"&lt;="&amp;AF$5,'Leave Log'!$D$5:$D$304,"&gt;="&amp;AF$5,'Leave Log'!$F$5:$F$304,"&lt;&gt;Rejected",'Leave Log'!$B$5:$B$304,"OT")&gt;0,"OT",""))))))</f>
        <v/>
      </c>
      <c r="AG18" s="12" t="str">
        <f aca="false">IF(OR(AG$5="",$A18=""),"",IF(COUNTIFS('Leave Log'!$A$5:$A$304,$A18,'Leave Log'!$C$5:$C$304,"&lt;="&amp;AG$5,'Leave Log'!$D$5:$D$304,"&gt;="&amp;AG$5,'Leave Log'!$F$5:$F$304,"&lt;&gt;Rejected",'Leave Log'!$B$5:$B$304,"AL")&gt;0,"AL",IF(COUNTIFS('Leave Log'!$A$5:$A$304,$A18,'Leave Log'!$C$5:$C$304,"&lt;="&amp;AG$5,'Leave Log'!$D$5:$D$304,"&gt;="&amp;AG$5,'Leave Log'!$F$5:$F$304,"&lt;&gt;Rejected",'Leave Log'!$B$5:$B$304,"SL")&gt;0,"SL",IF(COUNTIFS('Leave Log'!$A$5:$A$304,$A18,'Leave Log'!$C$5:$C$304,"&lt;="&amp;AG$5,'Leave Log'!$D$5:$D$304,"&gt;="&amp;AG$5,'Leave Log'!$F$5:$F$304,"&lt;&gt;Rejected",'Leave Log'!$B$5:$B$304,"CL")&gt;0,"CL",IF(COUNTIFS('Leave Log'!$A$5:$A$304,$A18,'Leave Log'!$C$5:$C$304,"&lt;="&amp;AG$5,'Leave Log'!$D$5:$D$304,"&gt;="&amp;AG$5,'Leave Log'!$F$5:$F$304,"&lt;&gt;Rejected",'Leave Log'!$B$5:$B$304,"UL")&gt;0,"UL",IF(COUNTIFS('Leave Log'!$A$5:$A$304,$A18,'Leave Log'!$C$5:$C$304,"&lt;="&amp;AG$5,'Leave Log'!$D$5:$D$304,"&gt;="&amp;AG$5,'Leave Log'!$F$5:$F$304,"&lt;&gt;Rejected",'Leave Log'!$B$5:$B$304,"OT")&gt;0,"OT",""))))))</f>
        <v/>
      </c>
    </row>
    <row r="19" customFormat="false" ht="15" hidden="false" customHeight="false" outlineLevel="0" collapsed="false">
      <c r="A19" s="3" t="str">
        <f aca="false">IF(Employees!B18="","",Employees!B18)</f>
        <v/>
      </c>
      <c r="B19" s="11" t="str">
        <f aca="false">IF(Employees!B18="","",Employees!C18)</f>
        <v/>
      </c>
      <c r="C19" s="12" t="str">
        <f aca="false">IF(OR(C$5="",$A19=""),"",IF(COUNTIFS('Leave Log'!$A$5:$A$304,$A19,'Leave Log'!$C$5:$C$304,"&lt;="&amp;C$5,'Leave Log'!$D$5:$D$304,"&gt;="&amp;C$5,'Leave Log'!$F$5:$F$304,"&lt;&gt;Rejected",'Leave Log'!$B$5:$B$304,"AL")&gt;0,"AL",IF(COUNTIFS('Leave Log'!$A$5:$A$304,$A19,'Leave Log'!$C$5:$C$304,"&lt;="&amp;C$5,'Leave Log'!$D$5:$D$304,"&gt;="&amp;C$5,'Leave Log'!$F$5:$F$304,"&lt;&gt;Rejected",'Leave Log'!$B$5:$B$304,"SL")&gt;0,"SL",IF(COUNTIFS('Leave Log'!$A$5:$A$304,$A19,'Leave Log'!$C$5:$C$304,"&lt;="&amp;C$5,'Leave Log'!$D$5:$D$304,"&gt;="&amp;C$5,'Leave Log'!$F$5:$F$304,"&lt;&gt;Rejected",'Leave Log'!$B$5:$B$304,"CL")&gt;0,"CL",IF(COUNTIFS('Leave Log'!$A$5:$A$304,$A19,'Leave Log'!$C$5:$C$304,"&lt;="&amp;C$5,'Leave Log'!$D$5:$D$304,"&gt;="&amp;C$5,'Leave Log'!$F$5:$F$304,"&lt;&gt;Rejected",'Leave Log'!$B$5:$B$304,"UL")&gt;0,"UL",IF(COUNTIFS('Leave Log'!$A$5:$A$304,$A19,'Leave Log'!$C$5:$C$304,"&lt;="&amp;C$5,'Leave Log'!$D$5:$D$304,"&gt;="&amp;C$5,'Leave Log'!$F$5:$F$304,"&lt;&gt;Rejected",'Leave Log'!$B$5:$B$304,"OT")&gt;0,"OT",""))))))</f>
        <v/>
      </c>
      <c r="D19" s="12" t="str">
        <f aca="false">IF(OR(D$5="",$A19=""),"",IF(COUNTIFS('Leave Log'!$A$5:$A$304,$A19,'Leave Log'!$C$5:$C$304,"&lt;="&amp;D$5,'Leave Log'!$D$5:$D$304,"&gt;="&amp;D$5,'Leave Log'!$F$5:$F$304,"&lt;&gt;Rejected",'Leave Log'!$B$5:$B$304,"AL")&gt;0,"AL",IF(COUNTIFS('Leave Log'!$A$5:$A$304,$A19,'Leave Log'!$C$5:$C$304,"&lt;="&amp;D$5,'Leave Log'!$D$5:$D$304,"&gt;="&amp;D$5,'Leave Log'!$F$5:$F$304,"&lt;&gt;Rejected",'Leave Log'!$B$5:$B$304,"SL")&gt;0,"SL",IF(COUNTIFS('Leave Log'!$A$5:$A$304,$A19,'Leave Log'!$C$5:$C$304,"&lt;="&amp;D$5,'Leave Log'!$D$5:$D$304,"&gt;="&amp;D$5,'Leave Log'!$F$5:$F$304,"&lt;&gt;Rejected",'Leave Log'!$B$5:$B$304,"CL")&gt;0,"CL",IF(COUNTIFS('Leave Log'!$A$5:$A$304,$A19,'Leave Log'!$C$5:$C$304,"&lt;="&amp;D$5,'Leave Log'!$D$5:$D$304,"&gt;="&amp;D$5,'Leave Log'!$F$5:$F$304,"&lt;&gt;Rejected",'Leave Log'!$B$5:$B$304,"UL")&gt;0,"UL",IF(COUNTIFS('Leave Log'!$A$5:$A$304,$A19,'Leave Log'!$C$5:$C$304,"&lt;="&amp;D$5,'Leave Log'!$D$5:$D$304,"&gt;="&amp;D$5,'Leave Log'!$F$5:$F$304,"&lt;&gt;Rejected",'Leave Log'!$B$5:$B$304,"OT")&gt;0,"OT",""))))))</f>
        <v/>
      </c>
      <c r="E19" s="12" t="str">
        <f aca="false">IF(OR(E$5="",$A19=""),"",IF(COUNTIFS('Leave Log'!$A$5:$A$304,$A19,'Leave Log'!$C$5:$C$304,"&lt;="&amp;E$5,'Leave Log'!$D$5:$D$304,"&gt;="&amp;E$5,'Leave Log'!$F$5:$F$304,"&lt;&gt;Rejected",'Leave Log'!$B$5:$B$304,"AL")&gt;0,"AL",IF(COUNTIFS('Leave Log'!$A$5:$A$304,$A19,'Leave Log'!$C$5:$C$304,"&lt;="&amp;E$5,'Leave Log'!$D$5:$D$304,"&gt;="&amp;E$5,'Leave Log'!$F$5:$F$304,"&lt;&gt;Rejected",'Leave Log'!$B$5:$B$304,"SL")&gt;0,"SL",IF(COUNTIFS('Leave Log'!$A$5:$A$304,$A19,'Leave Log'!$C$5:$C$304,"&lt;="&amp;E$5,'Leave Log'!$D$5:$D$304,"&gt;="&amp;E$5,'Leave Log'!$F$5:$F$304,"&lt;&gt;Rejected",'Leave Log'!$B$5:$B$304,"CL")&gt;0,"CL",IF(COUNTIFS('Leave Log'!$A$5:$A$304,$A19,'Leave Log'!$C$5:$C$304,"&lt;="&amp;E$5,'Leave Log'!$D$5:$D$304,"&gt;="&amp;E$5,'Leave Log'!$F$5:$F$304,"&lt;&gt;Rejected",'Leave Log'!$B$5:$B$304,"UL")&gt;0,"UL",IF(COUNTIFS('Leave Log'!$A$5:$A$304,$A19,'Leave Log'!$C$5:$C$304,"&lt;="&amp;E$5,'Leave Log'!$D$5:$D$304,"&gt;="&amp;E$5,'Leave Log'!$F$5:$F$304,"&lt;&gt;Rejected",'Leave Log'!$B$5:$B$304,"OT")&gt;0,"OT",""))))))</f>
        <v/>
      </c>
      <c r="F19" s="12" t="str">
        <f aca="false">IF(OR(F$5="",$A19=""),"",IF(COUNTIFS('Leave Log'!$A$5:$A$304,$A19,'Leave Log'!$C$5:$C$304,"&lt;="&amp;F$5,'Leave Log'!$D$5:$D$304,"&gt;="&amp;F$5,'Leave Log'!$F$5:$F$304,"&lt;&gt;Rejected",'Leave Log'!$B$5:$B$304,"AL")&gt;0,"AL",IF(COUNTIFS('Leave Log'!$A$5:$A$304,$A19,'Leave Log'!$C$5:$C$304,"&lt;="&amp;F$5,'Leave Log'!$D$5:$D$304,"&gt;="&amp;F$5,'Leave Log'!$F$5:$F$304,"&lt;&gt;Rejected",'Leave Log'!$B$5:$B$304,"SL")&gt;0,"SL",IF(COUNTIFS('Leave Log'!$A$5:$A$304,$A19,'Leave Log'!$C$5:$C$304,"&lt;="&amp;F$5,'Leave Log'!$D$5:$D$304,"&gt;="&amp;F$5,'Leave Log'!$F$5:$F$304,"&lt;&gt;Rejected",'Leave Log'!$B$5:$B$304,"CL")&gt;0,"CL",IF(COUNTIFS('Leave Log'!$A$5:$A$304,$A19,'Leave Log'!$C$5:$C$304,"&lt;="&amp;F$5,'Leave Log'!$D$5:$D$304,"&gt;="&amp;F$5,'Leave Log'!$F$5:$F$304,"&lt;&gt;Rejected",'Leave Log'!$B$5:$B$304,"UL")&gt;0,"UL",IF(COUNTIFS('Leave Log'!$A$5:$A$304,$A19,'Leave Log'!$C$5:$C$304,"&lt;="&amp;F$5,'Leave Log'!$D$5:$D$304,"&gt;="&amp;F$5,'Leave Log'!$F$5:$F$304,"&lt;&gt;Rejected",'Leave Log'!$B$5:$B$304,"OT")&gt;0,"OT",""))))))</f>
        <v/>
      </c>
      <c r="G19" s="12" t="str">
        <f aca="false">IF(OR(G$5="",$A19=""),"",IF(COUNTIFS('Leave Log'!$A$5:$A$304,$A19,'Leave Log'!$C$5:$C$304,"&lt;="&amp;G$5,'Leave Log'!$D$5:$D$304,"&gt;="&amp;G$5,'Leave Log'!$F$5:$F$304,"&lt;&gt;Rejected",'Leave Log'!$B$5:$B$304,"AL")&gt;0,"AL",IF(COUNTIFS('Leave Log'!$A$5:$A$304,$A19,'Leave Log'!$C$5:$C$304,"&lt;="&amp;G$5,'Leave Log'!$D$5:$D$304,"&gt;="&amp;G$5,'Leave Log'!$F$5:$F$304,"&lt;&gt;Rejected",'Leave Log'!$B$5:$B$304,"SL")&gt;0,"SL",IF(COUNTIFS('Leave Log'!$A$5:$A$304,$A19,'Leave Log'!$C$5:$C$304,"&lt;="&amp;G$5,'Leave Log'!$D$5:$D$304,"&gt;="&amp;G$5,'Leave Log'!$F$5:$F$304,"&lt;&gt;Rejected",'Leave Log'!$B$5:$B$304,"CL")&gt;0,"CL",IF(COUNTIFS('Leave Log'!$A$5:$A$304,$A19,'Leave Log'!$C$5:$C$304,"&lt;="&amp;G$5,'Leave Log'!$D$5:$D$304,"&gt;="&amp;G$5,'Leave Log'!$F$5:$F$304,"&lt;&gt;Rejected",'Leave Log'!$B$5:$B$304,"UL")&gt;0,"UL",IF(COUNTIFS('Leave Log'!$A$5:$A$304,$A19,'Leave Log'!$C$5:$C$304,"&lt;="&amp;G$5,'Leave Log'!$D$5:$D$304,"&gt;="&amp;G$5,'Leave Log'!$F$5:$F$304,"&lt;&gt;Rejected",'Leave Log'!$B$5:$B$304,"OT")&gt;0,"OT",""))))))</f>
        <v/>
      </c>
      <c r="H19" s="12" t="str">
        <f aca="false">IF(OR(H$5="",$A19=""),"",IF(COUNTIFS('Leave Log'!$A$5:$A$304,$A19,'Leave Log'!$C$5:$C$304,"&lt;="&amp;H$5,'Leave Log'!$D$5:$D$304,"&gt;="&amp;H$5,'Leave Log'!$F$5:$F$304,"&lt;&gt;Rejected",'Leave Log'!$B$5:$B$304,"AL")&gt;0,"AL",IF(COUNTIFS('Leave Log'!$A$5:$A$304,$A19,'Leave Log'!$C$5:$C$304,"&lt;="&amp;H$5,'Leave Log'!$D$5:$D$304,"&gt;="&amp;H$5,'Leave Log'!$F$5:$F$304,"&lt;&gt;Rejected",'Leave Log'!$B$5:$B$304,"SL")&gt;0,"SL",IF(COUNTIFS('Leave Log'!$A$5:$A$304,$A19,'Leave Log'!$C$5:$C$304,"&lt;="&amp;H$5,'Leave Log'!$D$5:$D$304,"&gt;="&amp;H$5,'Leave Log'!$F$5:$F$304,"&lt;&gt;Rejected",'Leave Log'!$B$5:$B$304,"CL")&gt;0,"CL",IF(COUNTIFS('Leave Log'!$A$5:$A$304,$A19,'Leave Log'!$C$5:$C$304,"&lt;="&amp;H$5,'Leave Log'!$D$5:$D$304,"&gt;="&amp;H$5,'Leave Log'!$F$5:$F$304,"&lt;&gt;Rejected",'Leave Log'!$B$5:$B$304,"UL")&gt;0,"UL",IF(COUNTIFS('Leave Log'!$A$5:$A$304,$A19,'Leave Log'!$C$5:$C$304,"&lt;="&amp;H$5,'Leave Log'!$D$5:$D$304,"&gt;="&amp;H$5,'Leave Log'!$F$5:$F$304,"&lt;&gt;Rejected",'Leave Log'!$B$5:$B$304,"OT")&gt;0,"OT",""))))))</f>
        <v/>
      </c>
      <c r="I19" s="12" t="str">
        <f aca="false">IF(OR(I$5="",$A19=""),"",IF(COUNTIFS('Leave Log'!$A$5:$A$304,$A19,'Leave Log'!$C$5:$C$304,"&lt;="&amp;I$5,'Leave Log'!$D$5:$D$304,"&gt;="&amp;I$5,'Leave Log'!$F$5:$F$304,"&lt;&gt;Rejected",'Leave Log'!$B$5:$B$304,"AL")&gt;0,"AL",IF(COUNTIFS('Leave Log'!$A$5:$A$304,$A19,'Leave Log'!$C$5:$C$304,"&lt;="&amp;I$5,'Leave Log'!$D$5:$D$304,"&gt;="&amp;I$5,'Leave Log'!$F$5:$F$304,"&lt;&gt;Rejected",'Leave Log'!$B$5:$B$304,"SL")&gt;0,"SL",IF(COUNTIFS('Leave Log'!$A$5:$A$304,$A19,'Leave Log'!$C$5:$C$304,"&lt;="&amp;I$5,'Leave Log'!$D$5:$D$304,"&gt;="&amp;I$5,'Leave Log'!$F$5:$F$304,"&lt;&gt;Rejected",'Leave Log'!$B$5:$B$304,"CL")&gt;0,"CL",IF(COUNTIFS('Leave Log'!$A$5:$A$304,$A19,'Leave Log'!$C$5:$C$304,"&lt;="&amp;I$5,'Leave Log'!$D$5:$D$304,"&gt;="&amp;I$5,'Leave Log'!$F$5:$F$304,"&lt;&gt;Rejected",'Leave Log'!$B$5:$B$304,"UL")&gt;0,"UL",IF(COUNTIFS('Leave Log'!$A$5:$A$304,$A19,'Leave Log'!$C$5:$C$304,"&lt;="&amp;I$5,'Leave Log'!$D$5:$D$304,"&gt;="&amp;I$5,'Leave Log'!$F$5:$F$304,"&lt;&gt;Rejected",'Leave Log'!$B$5:$B$304,"OT")&gt;0,"OT",""))))))</f>
        <v/>
      </c>
      <c r="J19" s="12" t="str">
        <f aca="false">IF(OR(J$5="",$A19=""),"",IF(COUNTIFS('Leave Log'!$A$5:$A$304,$A19,'Leave Log'!$C$5:$C$304,"&lt;="&amp;J$5,'Leave Log'!$D$5:$D$304,"&gt;="&amp;J$5,'Leave Log'!$F$5:$F$304,"&lt;&gt;Rejected",'Leave Log'!$B$5:$B$304,"AL")&gt;0,"AL",IF(COUNTIFS('Leave Log'!$A$5:$A$304,$A19,'Leave Log'!$C$5:$C$304,"&lt;="&amp;J$5,'Leave Log'!$D$5:$D$304,"&gt;="&amp;J$5,'Leave Log'!$F$5:$F$304,"&lt;&gt;Rejected",'Leave Log'!$B$5:$B$304,"SL")&gt;0,"SL",IF(COUNTIFS('Leave Log'!$A$5:$A$304,$A19,'Leave Log'!$C$5:$C$304,"&lt;="&amp;J$5,'Leave Log'!$D$5:$D$304,"&gt;="&amp;J$5,'Leave Log'!$F$5:$F$304,"&lt;&gt;Rejected",'Leave Log'!$B$5:$B$304,"CL")&gt;0,"CL",IF(COUNTIFS('Leave Log'!$A$5:$A$304,$A19,'Leave Log'!$C$5:$C$304,"&lt;="&amp;J$5,'Leave Log'!$D$5:$D$304,"&gt;="&amp;J$5,'Leave Log'!$F$5:$F$304,"&lt;&gt;Rejected",'Leave Log'!$B$5:$B$304,"UL")&gt;0,"UL",IF(COUNTIFS('Leave Log'!$A$5:$A$304,$A19,'Leave Log'!$C$5:$C$304,"&lt;="&amp;J$5,'Leave Log'!$D$5:$D$304,"&gt;="&amp;J$5,'Leave Log'!$F$5:$F$304,"&lt;&gt;Rejected",'Leave Log'!$B$5:$B$304,"OT")&gt;0,"OT",""))))))</f>
        <v/>
      </c>
      <c r="K19" s="12" t="str">
        <f aca="false">IF(OR(K$5="",$A19=""),"",IF(COUNTIFS('Leave Log'!$A$5:$A$304,$A19,'Leave Log'!$C$5:$C$304,"&lt;="&amp;K$5,'Leave Log'!$D$5:$D$304,"&gt;="&amp;K$5,'Leave Log'!$F$5:$F$304,"&lt;&gt;Rejected",'Leave Log'!$B$5:$B$304,"AL")&gt;0,"AL",IF(COUNTIFS('Leave Log'!$A$5:$A$304,$A19,'Leave Log'!$C$5:$C$304,"&lt;="&amp;K$5,'Leave Log'!$D$5:$D$304,"&gt;="&amp;K$5,'Leave Log'!$F$5:$F$304,"&lt;&gt;Rejected",'Leave Log'!$B$5:$B$304,"SL")&gt;0,"SL",IF(COUNTIFS('Leave Log'!$A$5:$A$304,$A19,'Leave Log'!$C$5:$C$304,"&lt;="&amp;K$5,'Leave Log'!$D$5:$D$304,"&gt;="&amp;K$5,'Leave Log'!$F$5:$F$304,"&lt;&gt;Rejected",'Leave Log'!$B$5:$B$304,"CL")&gt;0,"CL",IF(COUNTIFS('Leave Log'!$A$5:$A$304,$A19,'Leave Log'!$C$5:$C$304,"&lt;="&amp;K$5,'Leave Log'!$D$5:$D$304,"&gt;="&amp;K$5,'Leave Log'!$F$5:$F$304,"&lt;&gt;Rejected",'Leave Log'!$B$5:$B$304,"UL")&gt;0,"UL",IF(COUNTIFS('Leave Log'!$A$5:$A$304,$A19,'Leave Log'!$C$5:$C$304,"&lt;="&amp;K$5,'Leave Log'!$D$5:$D$304,"&gt;="&amp;K$5,'Leave Log'!$F$5:$F$304,"&lt;&gt;Rejected",'Leave Log'!$B$5:$B$304,"OT")&gt;0,"OT",""))))))</f>
        <v/>
      </c>
      <c r="L19" s="12" t="str">
        <f aca="false">IF(OR(L$5="",$A19=""),"",IF(COUNTIFS('Leave Log'!$A$5:$A$304,$A19,'Leave Log'!$C$5:$C$304,"&lt;="&amp;L$5,'Leave Log'!$D$5:$D$304,"&gt;="&amp;L$5,'Leave Log'!$F$5:$F$304,"&lt;&gt;Rejected",'Leave Log'!$B$5:$B$304,"AL")&gt;0,"AL",IF(COUNTIFS('Leave Log'!$A$5:$A$304,$A19,'Leave Log'!$C$5:$C$304,"&lt;="&amp;L$5,'Leave Log'!$D$5:$D$304,"&gt;="&amp;L$5,'Leave Log'!$F$5:$F$304,"&lt;&gt;Rejected",'Leave Log'!$B$5:$B$304,"SL")&gt;0,"SL",IF(COUNTIFS('Leave Log'!$A$5:$A$304,$A19,'Leave Log'!$C$5:$C$304,"&lt;="&amp;L$5,'Leave Log'!$D$5:$D$304,"&gt;="&amp;L$5,'Leave Log'!$F$5:$F$304,"&lt;&gt;Rejected",'Leave Log'!$B$5:$B$304,"CL")&gt;0,"CL",IF(COUNTIFS('Leave Log'!$A$5:$A$304,$A19,'Leave Log'!$C$5:$C$304,"&lt;="&amp;L$5,'Leave Log'!$D$5:$D$304,"&gt;="&amp;L$5,'Leave Log'!$F$5:$F$304,"&lt;&gt;Rejected",'Leave Log'!$B$5:$B$304,"UL")&gt;0,"UL",IF(COUNTIFS('Leave Log'!$A$5:$A$304,$A19,'Leave Log'!$C$5:$C$304,"&lt;="&amp;L$5,'Leave Log'!$D$5:$D$304,"&gt;="&amp;L$5,'Leave Log'!$F$5:$F$304,"&lt;&gt;Rejected",'Leave Log'!$B$5:$B$304,"OT")&gt;0,"OT",""))))))</f>
        <v/>
      </c>
      <c r="M19" s="12" t="str">
        <f aca="false">IF(OR(M$5="",$A19=""),"",IF(COUNTIFS('Leave Log'!$A$5:$A$304,$A19,'Leave Log'!$C$5:$C$304,"&lt;="&amp;M$5,'Leave Log'!$D$5:$D$304,"&gt;="&amp;M$5,'Leave Log'!$F$5:$F$304,"&lt;&gt;Rejected",'Leave Log'!$B$5:$B$304,"AL")&gt;0,"AL",IF(COUNTIFS('Leave Log'!$A$5:$A$304,$A19,'Leave Log'!$C$5:$C$304,"&lt;="&amp;M$5,'Leave Log'!$D$5:$D$304,"&gt;="&amp;M$5,'Leave Log'!$F$5:$F$304,"&lt;&gt;Rejected",'Leave Log'!$B$5:$B$304,"SL")&gt;0,"SL",IF(COUNTIFS('Leave Log'!$A$5:$A$304,$A19,'Leave Log'!$C$5:$C$304,"&lt;="&amp;M$5,'Leave Log'!$D$5:$D$304,"&gt;="&amp;M$5,'Leave Log'!$F$5:$F$304,"&lt;&gt;Rejected",'Leave Log'!$B$5:$B$304,"CL")&gt;0,"CL",IF(COUNTIFS('Leave Log'!$A$5:$A$304,$A19,'Leave Log'!$C$5:$C$304,"&lt;="&amp;M$5,'Leave Log'!$D$5:$D$304,"&gt;="&amp;M$5,'Leave Log'!$F$5:$F$304,"&lt;&gt;Rejected",'Leave Log'!$B$5:$B$304,"UL")&gt;0,"UL",IF(COUNTIFS('Leave Log'!$A$5:$A$304,$A19,'Leave Log'!$C$5:$C$304,"&lt;="&amp;M$5,'Leave Log'!$D$5:$D$304,"&gt;="&amp;M$5,'Leave Log'!$F$5:$F$304,"&lt;&gt;Rejected",'Leave Log'!$B$5:$B$304,"OT")&gt;0,"OT",""))))))</f>
        <v/>
      </c>
      <c r="N19" s="12" t="str">
        <f aca="false">IF(OR(N$5="",$A19=""),"",IF(COUNTIFS('Leave Log'!$A$5:$A$304,$A19,'Leave Log'!$C$5:$C$304,"&lt;="&amp;N$5,'Leave Log'!$D$5:$D$304,"&gt;="&amp;N$5,'Leave Log'!$F$5:$F$304,"&lt;&gt;Rejected",'Leave Log'!$B$5:$B$304,"AL")&gt;0,"AL",IF(COUNTIFS('Leave Log'!$A$5:$A$304,$A19,'Leave Log'!$C$5:$C$304,"&lt;="&amp;N$5,'Leave Log'!$D$5:$D$304,"&gt;="&amp;N$5,'Leave Log'!$F$5:$F$304,"&lt;&gt;Rejected",'Leave Log'!$B$5:$B$304,"SL")&gt;0,"SL",IF(COUNTIFS('Leave Log'!$A$5:$A$304,$A19,'Leave Log'!$C$5:$C$304,"&lt;="&amp;N$5,'Leave Log'!$D$5:$D$304,"&gt;="&amp;N$5,'Leave Log'!$F$5:$F$304,"&lt;&gt;Rejected",'Leave Log'!$B$5:$B$304,"CL")&gt;0,"CL",IF(COUNTIFS('Leave Log'!$A$5:$A$304,$A19,'Leave Log'!$C$5:$C$304,"&lt;="&amp;N$5,'Leave Log'!$D$5:$D$304,"&gt;="&amp;N$5,'Leave Log'!$F$5:$F$304,"&lt;&gt;Rejected",'Leave Log'!$B$5:$B$304,"UL")&gt;0,"UL",IF(COUNTIFS('Leave Log'!$A$5:$A$304,$A19,'Leave Log'!$C$5:$C$304,"&lt;="&amp;N$5,'Leave Log'!$D$5:$D$304,"&gt;="&amp;N$5,'Leave Log'!$F$5:$F$304,"&lt;&gt;Rejected",'Leave Log'!$B$5:$B$304,"OT")&gt;0,"OT",""))))))</f>
        <v/>
      </c>
      <c r="O19" s="12" t="str">
        <f aca="false">IF(OR(O$5="",$A19=""),"",IF(COUNTIFS('Leave Log'!$A$5:$A$304,$A19,'Leave Log'!$C$5:$C$304,"&lt;="&amp;O$5,'Leave Log'!$D$5:$D$304,"&gt;="&amp;O$5,'Leave Log'!$F$5:$F$304,"&lt;&gt;Rejected",'Leave Log'!$B$5:$B$304,"AL")&gt;0,"AL",IF(COUNTIFS('Leave Log'!$A$5:$A$304,$A19,'Leave Log'!$C$5:$C$304,"&lt;="&amp;O$5,'Leave Log'!$D$5:$D$304,"&gt;="&amp;O$5,'Leave Log'!$F$5:$F$304,"&lt;&gt;Rejected",'Leave Log'!$B$5:$B$304,"SL")&gt;0,"SL",IF(COUNTIFS('Leave Log'!$A$5:$A$304,$A19,'Leave Log'!$C$5:$C$304,"&lt;="&amp;O$5,'Leave Log'!$D$5:$D$304,"&gt;="&amp;O$5,'Leave Log'!$F$5:$F$304,"&lt;&gt;Rejected",'Leave Log'!$B$5:$B$304,"CL")&gt;0,"CL",IF(COUNTIFS('Leave Log'!$A$5:$A$304,$A19,'Leave Log'!$C$5:$C$304,"&lt;="&amp;O$5,'Leave Log'!$D$5:$D$304,"&gt;="&amp;O$5,'Leave Log'!$F$5:$F$304,"&lt;&gt;Rejected",'Leave Log'!$B$5:$B$304,"UL")&gt;0,"UL",IF(COUNTIFS('Leave Log'!$A$5:$A$304,$A19,'Leave Log'!$C$5:$C$304,"&lt;="&amp;O$5,'Leave Log'!$D$5:$D$304,"&gt;="&amp;O$5,'Leave Log'!$F$5:$F$304,"&lt;&gt;Rejected",'Leave Log'!$B$5:$B$304,"OT")&gt;0,"OT",""))))))</f>
        <v/>
      </c>
      <c r="P19" s="12" t="str">
        <f aca="false">IF(OR(P$5="",$A19=""),"",IF(COUNTIFS('Leave Log'!$A$5:$A$304,$A19,'Leave Log'!$C$5:$C$304,"&lt;="&amp;P$5,'Leave Log'!$D$5:$D$304,"&gt;="&amp;P$5,'Leave Log'!$F$5:$F$304,"&lt;&gt;Rejected",'Leave Log'!$B$5:$B$304,"AL")&gt;0,"AL",IF(COUNTIFS('Leave Log'!$A$5:$A$304,$A19,'Leave Log'!$C$5:$C$304,"&lt;="&amp;P$5,'Leave Log'!$D$5:$D$304,"&gt;="&amp;P$5,'Leave Log'!$F$5:$F$304,"&lt;&gt;Rejected",'Leave Log'!$B$5:$B$304,"SL")&gt;0,"SL",IF(COUNTIFS('Leave Log'!$A$5:$A$304,$A19,'Leave Log'!$C$5:$C$304,"&lt;="&amp;P$5,'Leave Log'!$D$5:$D$304,"&gt;="&amp;P$5,'Leave Log'!$F$5:$F$304,"&lt;&gt;Rejected",'Leave Log'!$B$5:$B$304,"CL")&gt;0,"CL",IF(COUNTIFS('Leave Log'!$A$5:$A$304,$A19,'Leave Log'!$C$5:$C$304,"&lt;="&amp;P$5,'Leave Log'!$D$5:$D$304,"&gt;="&amp;P$5,'Leave Log'!$F$5:$F$304,"&lt;&gt;Rejected",'Leave Log'!$B$5:$B$304,"UL")&gt;0,"UL",IF(COUNTIFS('Leave Log'!$A$5:$A$304,$A19,'Leave Log'!$C$5:$C$304,"&lt;="&amp;P$5,'Leave Log'!$D$5:$D$304,"&gt;="&amp;P$5,'Leave Log'!$F$5:$F$304,"&lt;&gt;Rejected",'Leave Log'!$B$5:$B$304,"OT")&gt;0,"OT",""))))))</f>
        <v/>
      </c>
      <c r="Q19" s="12" t="str">
        <f aca="false">IF(OR(Q$5="",$A19=""),"",IF(COUNTIFS('Leave Log'!$A$5:$A$304,$A19,'Leave Log'!$C$5:$C$304,"&lt;="&amp;Q$5,'Leave Log'!$D$5:$D$304,"&gt;="&amp;Q$5,'Leave Log'!$F$5:$F$304,"&lt;&gt;Rejected",'Leave Log'!$B$5:$B$304,"AL")&gt;0,"AL",IF(COUNTIFS('Leave Log'!$A$5:$A$304,$A19,'Leave Log'!$C$5:$C$304,"&lt;="&amp;Q$5,'Leave Log'!$D$5:$D$304,"&gt;="&amp;Q$5,'Leave Log'!$F$5:$F$304,"&lt;&gt;Rejected",'Leave Log'!$B$5:$B$304,"SL")&gt;0,"SL",IF(COUNTIFS('Leave Log'!$A$5:$A$304,$A19,'Leave Log'!$C$5:$C$304,"&lt;="&amp;Q$5,'Leave Log'!$D$5:$D$304,"&gt;="&amp;Q$5,'Leave Log'!$F$5:$F$304,"&lt;&gt;Rejected",'Leave Log'!$B$5:$B$304,"CL")&gt;0,"CL",IF(COUNTIFS('Leave Log'!$A$5:$A$304,$A19,'Leave Log'!$C$5:$C$304,"&lt;="&amp;Q$5,'Leave Log'!$D$5:$D$304,"&gt;="&amp;Q$5,'Leave Log'!$F$5:$F$304,"&lt;&gt;Rejected",'Leave Log'!$B$5:$B$304,"UL")&gt;0,"UL",IF(COUNTIFS('Leave Log'!$A$5:$A$304,$A19,'Leave Log'!$C$5:$C$304,"&lt;="&amp;Q$5,'Leave Log'!$D$5:$D$304,"&gt;="&amp;Q$5,'Leave Log'!$F$5:$F$304,"&lt;&gt;Rejected",'Leave Log'!$B$5:$B$304,"OT")&gt;0,"OT",""))))))</f>
        <v/>
      </c>
      <c r="R19" s="12" t="str">
        <f aca="false">IF(OR(R$5="",$A19=""),"",IF(COUNTIFS('Leave Log'!$A$5:$A$304,$A19,'Leave Log'!$C$5:$C$304,"&lt;="&amp;R$5,'Leave Log'!$D$5:$D$304,"&gt;="&amp;R$5,'Leave Log'!$F$5:$F$304,"&lt;&gt;Rejected",'Leave Log'!$B$5:$B$304,"AL")&gt;0,"AL",IF(COUNTIFS('Leave Log'!$A$5:$A$304,$A19,'Leave Log'!$C$5:$C$304,"&lt;="&amp;R$5,'Leave Log'!$D$5:$D$304,"&gt;="&amp;R$5,'Leave Log'!$F$5:$F$304,"&lt;&gt;Rejected",'Leave Log'!$B$5:$B$304,"SL")&gt;0,"SL",IF(COUNTIFS('Leave Log'!$A$5:$A$304,$A19,'Leave Log'!$C$5:$C$304,"&lt;="&amp;R$5,'Leave Log'!$D$5:$D$304,"&gt;="&amp;R$5,'Leave Log'!$F$5:$F$304,"&lt;&gt;Rejected",'Leave Log'!$B$5:$B$304,"CL")&gt;0,"CL",IF(COUNTIFS('Leave Log'!$A$5:$A$304,$A19,'Leave Log'!$C$5:$C$304,"&lt;="&amp;R$5,'Leave Log'!$D$5:$D$304,"&gt;="&amp;R$5,'Leave Log'!$F$5:$F$304,"&lt;&gt;Rejected",'Leave Log'!$B$5:$B$304,"UL")&gt;0,"UL",IF(COUNTIFS('Leave Log'!$A$5:$A$304,$A19,'Leave Log'!$C$5:$C$304,"&lt;="&amp;R$5,'Leave Log'!$D$5:$D$304,"&gt;="&amp;R$5,'Leave Log'!$F$5:$F$304,"&lt;&gt;Rejected",'Leave Log'!$B$5:$B$304,"OT")&gt;0,"OT",""))))))</f>
        <v/>
      </c>
      <c r="S19" s="12" t="str">
        <f aca="false">IF(OR(S$5="",$A19=""),"",IF(COUNTIFS('Leave Log'!$A$5:$A$304,$A19,'Leave Log'!$C$5:$C$304,"&lt;="&amp;S$5,'Leave Log'!$D$5:$D$304,"&gt;="&amp;S$5,'Leave Log'!$F$5:$F$304,"&lt;&gt;Rejected",'Leave Log'!$B$5:$B$304,"AL")&gt;0,"AL",IF(COUNTIFS('Leave Log'!$A$5:$A$304,$A19,'Leave Log'!$C$5:$C$304,"&lt;="&amp;S$5,'Leave Log'!$D$5:$D$304,"&gt;="&amp;S$5,'Leave Log'!$F$5:$F$304,"&lt;&gt;Rejected",'Leave Log'!$B$5:$B$304,"SL")&gt;0,"SL",IF(COUNTIFS('Leave Log'!$A$5:$A$304,$A19,'Leave Log'!$C$5:$C$304,"&lt;="&amp;S$5,'Leave Log'!$D$5:$D$304,"&gt;="&amp;S$5,'Leave Log'!$F$5:$F$304,"&lt;&gt;Rejected",'Leave Log'!$B$5:$B$304,"CL")&gt;0,"CL",IF(COUNTIFS('Leave Log'!$A$5:$A$304,$A19,'Leave Log'!$C$5:$C$304,"&lt;="&amp;S$5,'Leave Log'!$D$5:$D$304,"&gt;="&amp;S$5,'Leave Log'!$F$5:$F$304,"&lt;&gt;Rejected",'Leave Log'!$B$5:$B$304,"UL")&gt;0,"UL",IF(COUNTIFS('Leave Log'!$A$5:$A$304,$A19,'Leave Log'!$C$5:$C$304,"&lt;="&amp;S$5,'Leave Log'!$D$5:$D$304,"&gt;="&amp;S$5,'Leave Log'!$F$5:$F$304,"&lt;&gt;Rejected",'Leave Log'!$B$5:$B$304,"OT")&gt;0,"OT",""))))))</f>
        <v/>
      </c>
      <c r="T19" s="12" t="str">
        <f aca="false">IF(OR(T$5="",$A19=""),"",IF(COUNTIFS('Leave Log'!$A$5:$A$304,$A19,'Leave Log'!$C$5:$C$304,"&lt;="&amp;T$5,'Leave Log'!$D$5:$D$304,"&gt;="&amp;T$5,'Leave Log'!$F$5:$F$304,"&lt;&gt;Rejected",'Leave Log'!$B$5:$B$304,"AL")&gt;0,"AL",IF(COUNTIFS('Leave Log'!$A$5:$A$304,$A19,'Leave Log'!$C$5:$C$304,"&lt;="&amp;T$5,'Leave Log'!$D$5:$D$304,"&gt;="&amp;T$5,'Leave Log'!$F$5:$F$304,"&lt;&gt;Rejected",'Leave Log'!$B$5:$B$304,"SL")&gt;0,"SL",IF(COUNTIFS('Leave Log'!$A$5:$A$304,$A19,'Leave Log'!$C$5:$C$304,"&lt;="&amp;T$5,'Leave Log'!$D$5:$D$304,"&gt;="&amp;T$5,'Leave Log'!$F$5:$F$304,"&lt;&gt;Rejected",'Leave Log'!$B$5:$B$304,"CL")&gt;0,"CL",IF(COUNTIFS('Leave Log'!$A$5:$A$304,$A19,'Leave Log'!$C$5:$C$304,"&lt;="&amp;T$5,'Leave Log'!$D$5:$D$304,"&gt;="&amp;T$5,'Leave Log'!$F$5:$F$304,"&lt;&gt;Rejected",'Leave Log'!$B$5:$B$304,"UL")&gt;0,"UL",IF(COUNTIFS('Leave Log'!$A$5:$A$304,$A19,'Leave Log'!$C$5:$C$304,"&lt;="&amp;T$5,'Leave Log'!$D$5:$D$304,"&gt;="&amp;T$5,'Leave Log'!$F$5:$F$304,"&lt;&gt;Rejected",'Leave Log'!$B$5:$B$304,"OT")&gt;0,"OT",""))))))</f>
        <v/>
      </c>
      <c r="U19" s="12" t="str">
        <f aca="false">IF(OR(U$5="",$A19=""),"",IF(COUNTIFS('Leave Log'!$A$5:$A$304,$A19,'Leave Log'!$C$5:$C$304,"&lt;="&amp;U$5,'Leave Log'!$D$5:$D$304,"&gt;="&amp;U$5,'Leave Log'!$F$5:$F$304,"&lt;&gt;Rejected",'Leave Log'!$B$5:$B$304,"AL")&gt;0,"AL",IF(COUNTIFS('Leave Log'!$A$5:$A$304,$A19,'Leave Log'!$C$5:$C$304,"&lt;="&amp;U$5,'Leave Log'!$D$5:$D$304,"&gt;="&amp;U$5,'Leave Log'!$F$5:$F$304,"&lt;&gt;Rejected",'Leave Log'!$B$5:$B$304,"SL")&gt;0,"SL",IF(COUNTIFS('Leave Log'!$A$5:$A$304,$A19,'Leave Log'!$C$5:$C$304,"&lt;="&amp;U$5,'Leave Log'!$D$5:$D$304,"&gt;="&amp;U$5,'Leave Log'!$F$5:$F$304,"&lt;&gt;Rejected",'Leave Log'!$B$5:$B$304,"CL")&gt;0,"CL",IF(COUNTIFS('Leave Log'!$A$5:$A$304,$A19,'Leave Log'!$C$5:$C$304,"&lt;="&amp;U$5,'Leave Log'!$D$5:$D$304,"&gt;="&amp;U$5,'Leave Log'!$F$5:$F$304,"&lt;&gt;Rejected",'Leave Log'!$B$5:$B$304,"UL")&gt;0,"UL",IF(COUNTIFS('Leave Log'!$A$5:$A$304,$A19,'Leave Log'!$C$5:$C$304,"&lt;="&amp;U$5,'Leave Log'!$D$5:$D$304,"&gt;="&amp;U$5,'Leave Log'!$F$5:$F$304,"&lt;&gt;Rejected",'Leave Log'!$B$5:$B$304,"OT")&gt;0,"OT",""))))))</f>
        <v/>
      </c>
      <c r="V19" s="12" t="str">
        <f aca="false">IF(OR(V$5="",$A19=""),"",IF(COUNTIFS('Leave Log'!$A$5:$A$304,$A19,'Leave Log'!$C$5:$C$304,"&lt;="&amp;V$5,'Leave Log'!$D$5:$D$304,"&gt;="&amp;V$5,'Leave Log'!$F$5:$F$304,"&lt;&gt;Rejected",'Leave Log'!$B$5:$B$304,"AL")&gt;0,"AL",IF(COUNTIFS('Leave Log'!$A$5:$A$304,$A19,'Leave Log'!$C$5:$C$304,"&lt;="&amp;V$5,'Leave Log'!$D$5:$D$304,"&gt;="&amp;V$5,'Leave Log'!$F$5:$F$304,"&lt;&gt;Rejected",'Leave Log'!$B$5:$B$304,"SL")&gt;0,"SL",IF(COUNTIFS('Leave Log'!$A$5:$A$304,$A19,'Leave Log'!$C$5:$C$304,"&lt;="&amp;V$5,'Leave Log'!$D$5:$D$304,"&gt;="&amp;V$5,'Leave Log'!$F$5:$F$304,"&lt;&gt;Rejected",'Leave Log'!$B$5:$B$304,"CL")&gt;0,"CL",IF(COUNTIFS('Leave Log'!$A$5:$A$304,$A19,'Leave Log'!$C$5:$C$304,"&lt;="&amp;V$5,'Leave Log'!$D$5:$D$304,"&gt;="&amp;V$5,'Leave Log'!$F$5:$F$304,"&lt;&gt;Rejected",'Leave Log'!$B$5:$B$304,"UL")&gt;0,"UL",IF(COUNTIFS('Leave Log'!$A$5:$A$304,$A19,'Leave Log'!$C$5:$C$304,"&lt;="&amp;V$5,'Leave Log'!$D$5:$D$304,"&gt;="&amp;V$5,'Leave Log'!$F$5:$F$304,"&lt;&gt;Rejected",'Leave Log'!$B$5:$B$304,"OT")&gt;0,"OT",""))))))</f>
        <v/>
      </c>
      <c r="W19" s="12" t="str">
        <f aca="false">IF(OR(W$5="",$A19=""),"",IF(COUNTIFS('Leave Log'!$A$5:$A$304,$A19,'Leave Log'!$C$5:$C$304,"&lt;="&amp;W$5,'Leave Log'!$D$5:$D$304,"&gt;="&amp;W$5,'Leave Log'!$F$5:$F$304,"&lt;&gt;Rejected",'Leave Log'!$B$5:$B$304,"AL")&gt;0,"AL",IF(COUNTIFS('Leave Log'!$A$5:$A$304,$A19,'Leave Log'!$C$5:$C$304,"&lt;="&amp;W$5,'Leave Log'!$D$5:$D$304,"&gt;="&amp;W$5,'Leave Log'!$F$5:$F$304,"&lt;&gt;Rejected",'Leave Log'!$B$5:$B$304,"SL")&gt;0,"SL",IF(COUNTIFS('Leave Log'!$A$5:$A$304,$A19,'Leave Log'!$C$5:$C$304,"&lt;="&amp;W$5,'Leave Log'!$D$5:$D$304,"&gt;="&amp;W$5,'Leave Log'!$F$5:$F$304,"&lt;&gt;Rejected",'Leave Log'!$B$5:$B$304,"CL")&gt;0,"CL",IF(COUNTIFS('Leave Log'!$A$5:$A$304,$A19,'Leave Log'!$C$5:$C$304,"&lt;="&amp;W$5,'Leave Log'!$D$5:$D$304,"&gt;="&amp;W$5,'Leave Log'!$F$5:$F$304,"&lt;&gt;Rejected",'Leave Log'!$B$5:$B$304,"UL")&gt;0,"UL",IF(COUNTIFS('Leave Log'!$A$5:$A$304,$A19,'Leave Log'!$C$5:$C$304,"&lt;="&amp;W$5,'Leave Log'!$D$5:$D$304,"&gt;="&amp;W$5,'Leave Log'!$F$5:$F$304,"&lt;&gt;Rejected",'Leave Log'!$B$5:$B$304,"OT")&gt;0,"OT",""))))))</f>
        <v/>
      </c>
      <c r="X19" s="12" t="str">
        <f aca="false">IF(OR(X$5="",$A19=""),"",IF(COUNTIFS('Leave Log'!$A$5:$A$304,$A19,'Leave Log'!$C$5:$C$304,"&lt;="&amp;X$5,'Leave Log'!$D$5:$D$304,"&gt;="&amp;X$5,'Leave Log'!$F$5:$F$304,"&lt;&gt;Rejected",'Leave Log'!$B$5:$B$304,"AL")&gt;0,"AL",IF(COUNTIFS('Leave Log'!$A$5:$A$304,$A19,'Leave Log'!$C$5:$C$304,"&lt;="&amp;X$5,'Leave Log'!$D$5:$D$304,"&gt;="&amp;X$5,'Leave Log'!$F$5:$F$304,"&lt;&gt;Rejected",'Leave Log'!$B$5:$B$304,"SL")&gt;0,"SL",IF(COUNTIFS('Leave Log'!$A$5:$A$304,$A19,'Leave Log'!$C$5:$C$304,"&lt;="&amp;X$5,'Leave Log'!$D$5:$D$304,"&gt;="&amp;X$5,'Leave Log'!$F$5:$F$304,"&lt;&gt;Rejected",'Leave Log'!$B$5:$B$304,"CL")&gt;0,"CL",IF(COUNTIFS('Leave Log'!$A$5:$A$304,$A19,'Leave Log'!$C$5:$C$304,"&lt;="&amp;X$5,'Leave Log'!$D$5:$D$304,"&gt;="&amp;X$5,'Leave Log'!$F$5:$F$304,"&lt;&gt;Rejected",'Leave Log'!$B$5:$B$304,"UL")&gt;0,"UL",IF(COUNTIFS('Leave Log'!$A$5:$A$304,$A19,'Leave Log'!$C$5:$C$304,"&lt;="&amp;X$5,'Leave Log'!$D$5:$D$304,"&gt;="&amp;X$5,'Leave Log'!$F$5:$F$304,"&lt;&gt;Rejected",'Leave Log'!$B$5:$B$304,"OT")&gt;0,"OT",""))))))</f>
        <v/>
      </c>
      <c r="Y19" s="12" t="str">
        <f aca="false">IF(OR(Y$5="",$A19=""),"",IF(COUNTIFS('Leave Log'!$A$5:$A$304,$A19,'Leave Log'!$C$5:$C$304,"&lt;="&amp;Y$5,'Leave Log'!$D$5:$D$304,"&gt;="&amp;Y$5,'Leave Log'!$F$5:$F$304,"&lt;&gt;Rejected",'Leave Log'!$B$5:$B$304,"AL")&gt;0,"AL",IF(COUNTIFS('Leave Log'!$A$5:$A$304,$A19,'Leave Log'!$C$5:$C$304,"&lt;="&amp;Y$5,'Leave Log'!$D$5:$D$304,"&gt;="&amp;Y$5,'Leave Log'!$F$5:$F$304,"&lt;&gt;Rejected",'Leave Log'!$B$5:$B$304,"SL")&gt;0,"SL",IF(COUNTIFS('Leave Log'!$A$5:$A$304,$A19,'Leave Log'!$C$5:$C$304,"&lt;="&amp;Y$5,'Leave Log'!$D$5:$D$304,"&gt;="&amp;Y$5,'Leave Log'!$F$5:$F$304,"&lt;&gt;Rejected",'Leave Log'!$B$5:$B$304,"CL")&gt;0,"CL",IF(COUNTIFS('Leave Log'!$A$5:$A$304,$A19,'Leave Log'!$C$5:$C$304,"&lt;="&amp;Y$5,'Leave Log'!$D$5:$D$304,"&gt;="&amp;Y$5,'Leave Log'!$F$5:$F$304,"&lt;&gt;Rejected",'Leave Log'!$B$5:$B$304,"UL")&gt;0,"UL",IF(COUNTIFS('Leave Log'!$A$5:$A$304,$A19,'Leave Log'!$C$5:$C$304,"&lt;="&amp;Y$5,'Leave Log'!$D$5:$D$304,"&gt;="&amp;Y$5,'Leave Log'!$F$5:$F$304,"&lt;&gt;Rejected",'Leave Log'!$B$5:$B$304,"OT")&gt;0,"OT",""))))))</f>
        <v/>
      </c>
      <c r="Z19" s="12" t="str">
        <f aca="false">IF(OR(Z$5="",$A19=""),"",IF(COUNTIFS('Leave Log'!$A$5:$A$304,$A19,'Leave Log'!$C$5:$C$304,"&lt;="&amp;Z$5,'Leave Log'!$D$5:$D$304,"&gt;="&amp;Z$5,'Leave Log'!$F$5:$F$304,"&lt;&gt;Rejected",'Leave Log'!$B$5:$B$304,"AL")&gt;0,"AL",IF(COUNTIFS('Leave Log'!$A$5:$A$304,$A19,'Leave Log'!$C$5:$C$304,"&lt;="&amp;Z$5,'Leave Log'!$D$5:$D$304,"&gt;="&amp;Z$5,'Leave Log'!$F$5:$F$304,"&lt;&gt;Rejected",'Leave Log'!$B$5:$B$304,"SL")&gt;0,"SL",IF(COUNTIFS('Leave Log'!$A$5:$A$304,$A19,'Leave Log'!$C$5:$C$304,"&lt;="&amp;Z$5,'Leave Log'!$D$5:$D$304,"&gt;="&amp;Z$5,'Leave Log'!$F$5:$F$304,"&lt;&gt;Rejected",'Leave Log'!$B$5:$B$304,"CL")&gt;0,"CL",IF(COUNTIFS('Leave Log'!$A$5:$A$304,$A19,'Leave Log'!$C$5:$C$304,"&lt;="&amp;Z$5,'Leave Log'!$D$5:$D$304,"&gt;="&amp;Z$5,'Leave Log'!$F$5:$F$304,"&lt;&gt;Rejected",'Leave Log'!$B$5:$B$304,"UL")&gt;0,"UL",IF(COUNTIFS('Leave Log'!$A$5:$A$304,$A19,'Leave Log'!$C$5:$C$304,"&lt;="&amp;Z$5,'Leave Log'!$D$5:$D$304,"&gt;="&amp;Z$5,'Leave Log'!$F$5:$F$304,"&lt;&gt;Rejected",'Leave Log'!$B$5:$B$304,"OT")&gt;0,"OT",""))))))</f>
        <v/>
      </c>
      <c r="AA19" s="12" t="str">
        <f aca="false">IF(OR(AA$5="",$A19=""),"",IF(COUNTIFS('Leave Log'!$A$5:$A$304,$A19,'Leave Log'!$C$5:$C$304,"&lt;="&amp;AA$5,'Leave Log'!$D$5:$D$304,"&gt;="&amp;AA$5,'Leave Log'!$F$5:$F$304,"&lt;&gt;Rejected",'Leave Log'!$B$5:$B$304,"AL")&gt;0,"AL",IF(COUNTIFS('Leave Log'!$A$5:$A$304,$A19,'Leave Log'!$C$5:$C$304,"&lt;="&amp;AA$5,'Leave Log'!$D$5:$D$304,"&gt;="&amp;AA$5,'Leave Log'!$F$5:$F$304,"&lt;&gt;Rejected",'Leave Log'!$B$5:$B$304,"SL")&gt;0,"SL",IF(COUNTIFS('Leave Log'!$A$5:$A$304,$A19,'Leave Log'!$C$5:$C$304,"&lt;="&amp;AA$5,'Leave Log'!$D$5:$D$304,"&gt;="&amp;AA$5,'Leave Log'!$F$5:$F$304,"&lt;&gt;Rejected",'Leave Log'!$B$5:$B$304,"CL")&gt;0,"CL",IF(COUNTIFS('Leave Log'!$A$5:$A$304,$A19,'Leave Log'!$C$5:$C$304,"&lt;="&amp;AA$5,'Leave Log'!$D$5:$D$304,"&gt;="&amp;AA$5,'Leave Log'!$F$5:$F$304,"&lt;&gt;Rejected",'Leave Log'!$B$5:$B$304,"UL")&gt;0,"UL",IF(COUNTIFS('Leave Log'!$A$5:$A$304,$A19,'Leave Log'!$C$5:$C$304,"&lt;="&amp;AA$5,'Leave Log'!$D$5:$D$304,"&gt;="&amp;AA$5,'Leave Log'!$F$5:$F$304,"&lt;&gt;Rejected",'Leave Log'!$B$5:$B$304,"OT")&gt;0,"OT",""))))))</f>
        <v/>
      </c>
      <c r="AB19" s="12" t="str">
        <f aca="false">IF(OR(AB$5="",$A19=""),"",IF(COUNTIFS('Leave Log'!$A$5:$A$304,$A19,'Leave Log'!$C$5:$C$304,"&lt;="&amp;AB$5,'Leave Log'!$D$5:$D$304,"&gt;="&amp;AB$5,'Leave Log'!$F$5:$F$304,"&lt;&gt;Rejected",'Leave Log'!$B$5:$B$304,"AL")&gt;0,"AL",IF(COUNTIFS('Leave Log'!$A$5:$A$304,$A19,'Leave Log'!$C$5:$C$304,"&lt;="&amp;AB$5,'Leave Log'!$D$5:$D$304,"&gt;="&amp;AB$5,'Leave Log'!$F$5:$F$304,"&lt;&gt;Rejected",'Leave Log'!$B$5:$B$304,"SL")&gt;0,"SL",IF(COUNTIFS('Leave Log'!$A$5:$A$304,$A19,'Leave Log'!$C$5:$C$304,"&lt;="&amp;AB$5,'Leave Log'!$D$5:$D$304,"&gt;="&amp;AB$5,'Leave Log'!$F$5:$F$304,"&lt;&gt;Rejected",'Leave Log'!$B$5:$B$304,"CL")&gt;0,"CL",IF(COUNTIFS('Leave Log'!$A$5:$A$304,$A19,'Leave Log'!$C$5:$C$304,"&lt;="&amp;AB$5,'Leave Log'!$D$5:$D$304,"&gt;="&amp;AB$5,'Leave Log'!$F$5:$F$304,"&lt;&gt;Rejected",'Leave Log'!$B$5:$B$304,"UL")&gt;0,"UL",IF(COUNTIFS('Leave Log'!$A$5:$A$304,$A19,'Leave Log'!$C$5:$C$304,"&lt;="&amp;AB$5,'Leave Log'!$D$5:$D$304,"&gt;="&amp;AB$5,'Leave Log'!$F$5:$F$304,"&lt;&gt;Rejected",'Leave Log'!$B$5:$B$304,"OT")&gt;0,"OT",""))))))</f>
        <v/>
      </c>
      <c r="AC19" s="12" t="str">
        <f aca="false">IF(OR(AC$5="",$A19=""),"",IF(COUNTIFS('Leave Log'!$A$5:$A$304,$A19,'Leave Log'!$C$5:$C$304,"&lt;="&amp;AC$5,'Leave Log'!$D$5:$D$304,"&gt;="&amp;AC$5,'Leave Log'!$F$5:$F$304,"&lt;&gt;Rejected",'Leave Log'!$B$5:$B$304,"AL")&gt;0,"AL",IF(COUNTIFS('Leave Log'!$A$5:$A$304,$A19,'Leave Log'!$C$5:$C$304,"&lt;="&amp;AC$5,'Leave Log'!$D$5:$D$304,"&gt;="&amp;AC$5,'Leave Log'!$F$5:$F$304,"&lt;&gt;Rejected",'Leave Log'!$B$5:$B$304,"SL")&gt;0,"SL",IF(COUNTIFS('Leave Log'!$A$5:$A$304,$A19,'Leave Log'!$C$5:$C$304,"&lt;="&amp;AC$5,'Leave Log'!$D$5:$D$304,"&gt;="&amp;AC$5,'Leave Log'!$F$5:$F$304,"&lt;&gt;Rejected",'Leave Log'!$B$5:$B$304,"CL")&gt;0,"CL",IF(COUNTIFS('Leave Log'!$A$5:$A$304,$A19,'Leave Log'!$C$5:$C$304,"&lt;="&amp;AC$5,'Leave Log'!$D$5:$D$304,"&gt;="&amp;AC$5,'Leave Log'!$F$5:$F$304,"&lt;&gt;Rejected",'Leave Log'!$B$5:$B$304,"UL")&gt;0,"UL",IF(COUNTIFS('Leave Log'!$A$5:$A$304,$A19,'Leave Log'!$C$5:$C$304,"&lt;="&amp;AC$5,'Leave Log'!$D$5:$D$304,"&gt;="&amp;AC$5,'Leave Log'!$F$5:$F$304,"&lt;&gt;Rejected",'Leave Log'!$B$5:$B$304,"OT")&gt;0,"OT",""))))))</f>
        <v/>
      </c>
      <c r="AD19" s="12" t="str">
        <f aca="false">IF(OR(AD$5="",$A19=""),"",IF(COUNTIFS('Leave Log'!$A$5:$A$304,$A19,'Leave Log'!$C$5:$C$304,"&lt;="&amp;AD$5,'Leave Log'!$D$5:$D$304,"&gt;="&amp;AD$5,'Leave Log'!$F$5:$F$304,"&lt;&gt;Rejected",'Leave Log'!$B$5:$B$304,"AL")&gt;0,"AL",IF(COUNTIFS('Leave Log'!$A$5:$A$304,$A19,'Leave Log'!$C$5:$C$304,"&lt;="&amp;AD$5,'Leave Log'!$D$5:$D$304,"&gt;="&amp;AD$5,'Leave Log'!$F$5:$F$304,"&lt;&gt;Rejected",'Leave Log'!$B$5:$B$304,"SL")&gt;0,"SL",IF(COUNTIFS('Leave Log'!$A$5:$A$304,$A19,'Leave Log'!$C$5:$C$304,"&lt;="&amp;AD$5,'Leave Log'!$D$5:$D$304,"&gt;="&amp;AD$5,'Leave Log'!$F$5:$F$304,"&lt;&gt;Rejected",'Leave Log'!$B$5:$B$304,"CL")&gt;0,"CL",IF(COUNTIFS('Leave Log'!$A$5:$A$304,$A19,'Leave Log'!$C$5:$C$304,"&lt;="&amp;AD$5,'Leave Log'!$D$5:$D$304,"&gt;="&amp;AD$5,'Leave Log'!$F$5:$F$304,"&lt;&gt;Rejected",'Leave Log'!$B$5:$B$304,"UL")&gt;0,"UL",IF(COUNTIFS('Leave Log'!$A$5:$A$304,$A19,'Leave Log'!$C$5:$C$304,"&lt;="&amp;AD$5,'Leave Log'!$D$5:$D$304,"&gt;="&amp;AD$5,'Leave Log'!$F$5:$F$304,"&lt;&gt;Rejected",'Leave Log'!$B$5:$B$304,"OT")&gt;0,"OT",""))))))</f>
        <v/>
      </c>
      <c r="AE19" s="12" t="str">
        <f aca="false">IF(OR(AE$5="",$A19=""),"",IF(COUNTIFS('Leave Log'!$A$5:$A$304,$A19,'Leave Log'!$C$5:$C$304,"&lt;="&amp;AE$5,'Leave Log'!$D$5:$D$304,"&gt;="&amp;AE$5,'Leave Log'!$F$5:$F$304,"&lt;&gt;Rejected",'Leave Log'!$B$5:$B$304,"AL")&gt;0,"AL",IF(COUNTIFS('Leave Log'!$A$5:$A$304,$A19,'Leave Log'!$C$5:$C$304,"&lt;="&amp;AE$5,'Leave Log'!$D$5:$D$304,"&gt;="&amp;AE$5,'Leave Log'!$F$5:$F$304,"&lt;&gt;Rejected",'Leave Log'!$B$5:$B$304,"SL")&gt;0,"SL",IF(COUNTIFS('Leave Log'!$A$5:$A$304,$A19,'Leave Log'!$C$5:$C$304,"&lt;="&amp;AE$5,'Leave Log'!$D$5:$D$304,"&gt;="&amp;AE$5,'Leave Log'!$F$5:$F$304,"&lt;&gt;Rejected",'Leave Log'!$B$5:$B$304,"CL")&gt;0,"CL",IF(COUNTIFS('Leave Log'!$A$5:$A$304,$A19,'Leave Log'!$C$5:$C$304,"&lt;="&amp;AE$5,'Leave Log'!$D$5:$D$304,"&gt;="&amp;AE$5,'Leave Log'!$F$5:$F$304,"&lt;&gt;Rejected",'Leave Log'!$B$5:$B$304,"UL")&gt;0,"UL",IF(COUNTIFS('Leave Log'!$A$5:$A$304,$A19,'Leave Log'!$C$5:$C$304,"&lt;="&amp;AE$5,'Leave Log'!$D$5:$D$304,"&gt;="&amp;AE$5,'Leave Log'!$F$5:$F$304,"&lt;&gt;Rejected",'Leave Log'!$B$5:$B$304,"OT")&gt;0,"OT",""))))))</f>
        <v/>
      </c>
      <c r="AF19" s="12" t="str">
        <f aca="false">IF(OR(AF$5="",$A19=""),"",IF(COUNTIFS('Leave Log'!$A$5:$A$304,$A19,'Leave Log'!$C$5:$C$304,"&lt;="&amp;AF$5,'Leave Log'!$D$5:$D$304,"&gt;="&amp;AF$5,'Leave Log'!$F$5:$F$304,"&lt;&gt;Rejected",'Leave Log'!$B$5:$B$304,"AL")&gt;0,"AL",IF(COUNTIFS('Leave Log'!$A$5:$A$304,$A19,'Leave Log'!$C$5:$C$304,"&lt;="&amp;AF$5,'Leave Log'!$D$5:$D$304,"&gt;="&amp;AF$5,'Leave Log'!$F$5:$F$304,"&lt;&gt;Rejected",'Leave Log'!$B$5:$B$304,"SL")&gt;0,"SL",IF(COUNTIFS('Leave Log'!$A$5:$A$304,$A19,'Leave Log'!$C$5:$C$304,"&lt;="&amp;AF$5,'Leave Log'!$D$5:$D$304,"&gt;="&amp;AF$5,'Leave Log'!$F$5:$F$304,"&lt;&gt;Rejected",'Leave Log'!$B$5:$B$304,"CL")&gt;0,"CL",IF(COUNTIFS('Leave Log'!$A$5:$A$304,$A19,'Leave Log'!$C$5:$C$304,"&lt;="&amp;AF$5,'Leave Log'!$D$5:$D$304,"&gt;="&amp;AF$5,'Leave Log'!$F$5:$F$304,"&lt;&gt;Rejected",'Leave Log'!$B$5:$B$304,"UL")&gt;0,"UL",IF(COUNTIFS('Leave Log'!$A$5:$A$304,$A19,'Leave Log'!$C$5:$C$304,"&lt;="&amp;AF$5,'Leave Log'!$D$5:$D$304,"&gt;="&amp;AF$5,'Leave Log'!$F$5:$F$304,"&lt;&gt;Rejected",'Leave Log'!$B$5:$B$304,"OT")&gt;0,"OT",""))))))</f>
        <v/>
      </c>
      <c r="AG19" s="12" t="str">
        <f aca="false">IF(OR(AG$5="",$A19=""),"",IF(COUNTIFS('Leave Log'!$A$5:$A$304,$A19,'Leave Log'!$C$5:$C$304,"&lt;="&amp;AG$5,'Leave Log'!$D$5:$D$304,"&gt;="&amp;AG$5,'Leave Log'!$F$5:$F$304,"&lt;&gt;Rejected",'Leave Log'!$B$5:$B$304,"AL")&gt;0,"AL",IF(COUNTIFS('Leave Log'!$A$5:$A$304,$A19,'Leave Log'!$C$5:$C$304,"&lt;="&amp;AG$5,'Leave Log'!$D$5:$D$304,"&gt;="&amp;AG$5,'Leave Log'!$F$5:$F$304,"&lt;&gt;Rejected",'Leave Log'!$B$5:$B$304,"SL")&gt;0,"SL",IF(COUNTIFS('Leave Log'!$A$5:$A$304,$A19,'Leave Log'!$C$5:$C$304,"&lt;="&amp;AG$5,'Leave Log'!$D$5:$D$304,"&gt;="&amp;AG$5,'Leave Log'!$F$5:$F$304,"&lt;&gt;Rejected",'Leave Log'!$B$5:$B$304,"CL")&gt;0,"CL",IF(COUNTIFS('Leave Log'!$A$5:$A$304,$A19,'Leave Log'!$C$5:$C$304,"&lt;="&amp;AG$5,'Leave Log'!$D$5:$D$304,"&gt;="&amp;AG$5,'Leave Log'!$F$5:$F$304,"&lt;&gt;Rejected",'Leave Log'!$B$5:$B$304,"UL")&gt;0,"UL",IF(COUNTIFS('Leave Log'!$A$5:$A$304,$A19,'Leave Log'!$C$5:$C$304,"&lt;="&amp;AG$5,'Leave Log'!$D$5:$D$304,"&gt;="&amp;AG$5,'Leave Log'!$F$5:$F$304,"&lt;&gt;Rejected",'Leave Log'!$B$5:$B$304,"OT")&gt;0,"OT",""))))))</f>
        <v/>
      </c>
    </row>
    <row r="20" customFormat="false" ht="15" hidden="false" customHeight="false" outlineLevel="0" collapsed="false">
      <c r="A20" s="3" t="str">
        <f aca="false">IF(Employees!B19="","",Employees!B19)</f>
        <v/>
      </c>
      <c r="B20" s="11" t="str">
        <f aca="false">IF(Employees!B19="","",Employees!C19)</f>
        <v/>
      </c>
      <c r="C20" s="12" t="str">
        <f aca="false">IF(OR(C$5="",$A20=""),"",IF(COUNTIFS('Leave Log'!$A$5:$A$304,$A20,'Leave Log'!$C$5:$C$304,"&lt;="&amp;C$5,'Leave Log'!$D$5:$D$304,"&gt;="&amp;C$5,'Leave Log'!$F$5:$F$304,"&lt;&gt;Rejected",'Leave Log'!$B$5:$B$304,"AL")&gt;0,"AL",IF(COUNTIFS('Leave Log'!$A$5:$A$304,$A20,'Leave Log'!$C$5:$C$304,"&lt;="&amp;C$5,'Leave Log'!$D$5:$D$304,"&gt;="&amp;C$5,'Leave Log'!$F$5:$F$304,"&lt;&gt;Rejected",'Leave Log'!$B$5:$B$304,"SL")&gt;0,"SL",IF(COUNTIFS('Leave Log'!$A$5:$A$304,$A20,'Leave Log'!$C$5:$C$304,"&lt;="&amp;C$5,'Leave Log'!$D$5:$D$304,"&gt;="&amp;C$5,'Leave Log'!$F$5:$F$304,"&lt;&gt;Rejected",'Leave Log'!$B$5:$B$304,"CL")&gt;0,"CL",IF(COUNTIFS('Leave Log'!$A$5:$A$304,$A20,'Leave Log'!$C$5:$C$304,"&lt;="&amp;C$5,'Leave Log'!$D$5:$D$304,"&gt;="&amp;C$5,'Leave Log'!$F$5:$F$304,"&lt;&gt;Rejected",'Leave Log'!$B$5:$B$304,"UL")&gt;0,"UL",IF(COUNTIFS('Leave Log'!$A$5:$A$304,$A20,'Leave Log'!$C$5:$C$304,"&lt;="&amp;C$5,'Leave Log'!$D$5:$D$304,"&gt;="&amp;C$5,'Leave Log'!$F$5:$F$304,"&lt;&gt;Rejected",'Leave Log'!$B$5:$B$304,"OT")&gt;0,"OT",""))))))</f>
        <v/>
      </c>
      <c r="D20" s="12" t="str">
        <f aca="false">IF(OR(D$5="",$A20=""),"",IF(COUNTIFS('Leave Log'!$A$5:$A$304,$A20,'Leave Log'!$C$5:$C$304,"&lt;="&amp;D$5,'Leave Log'!$D$5:$D$304,"&gt;="&amp;D$5,'Leave Log'!$F$5:$F$304,"&lt;&gt;Rejected",'Leave Log'!$B$5:$B$304,"AL")&gt;0,"AL",IF(COUNTIFS('Leave Log'!$A$5:$A$304,$A20,'Leave Log'!$C$5:$C$304,"&lt;="&amp;D$5,'Leave Log'!$D$5:$D$304,"&gt;="&amp;D$5,'Leave Log'!$F$5:$F$304,"&lt;&gt;Rejected",'Leave Log'!$B$5:$B$304,"SL")&gt;0,"SL",IF(COUNTIFS('Leave Log'!$A$5:$A$304,$A20,'Leave Log'!$C$5:$C$304,"&lt;="&amp;D$5,'Leave Log'!$D$5:$D$304,"&gt;="&amp;D$5,'Leave Log'!$F$5:$F$304,"&lt;&gt;Rejected",'Leave Log'!$B$5:$B$304,"CL")&gt;0,"CL",IF(COUNTIFS('Leave Log'!$A$5:$A$304,$A20,'Leave Log'!$C$5:$C$304,"&lt;="&amp;D$5,'Leave Log'!$D$5:$D$304,"&gt;="&amp;D$5,'Leave Log'!$F$5:$F$304,"&lt;&gt;Rejected",'Leave Log'!$B$5:$B$304,"UL")&gt;0,"UL",IF(COUNTIFS('Leave Log'!$A$5:$A$304,$A20,'Leave Log'!$C$5:$C$304,"&lt;="&amp;D$5,'Leave Log'!$D$5:$D$304,"&gt;="&amp;D$5,'Leave Log'!$F$5:$F$304,"&lt;&gt;Rejected",'Leave Log'!$B$5:$B$304,"OT")&gt;0,"OT",""))))))</f>
        <v/>
      </c>
      <c r="E20" s="12" t="str">
        <f aca="false">IF(OR(E$5="",$A20=""),"",IF(COUNTIFS('Leave Log'!$A$5:$A$304,$A20,'Leave Log'!$C$5:$C$304,"&lt;="&amp;E$5,'Leave Log'!$D$5:$D$304,"&gt;="&amp;E$5,'Leave Log'!$F$5:$F$304,"&lt;&gt;Rejected",'Leave Log'!$B$5:$B$304,"AL")&gt;0,"AL",IF(COUNTIFS('Leave Log'!$A$5:$A$304,$A20,'Leave Log'!$C$5:$C$304,"&lt;="&amp;E$5,'Leave Log'!$D$5:$D$304,"&gt;="&amp;E$5,'Leave Log'!$F$5:$F$304,"&lt;&gt;Rejected",'Leave Log'!$B$5:$B$304,"SL")&gt;0,"SL",IF(COUNTIFS('Leave Log'!$A$5:$A$304,$A20,'Leave Log'!$C$5:$C$304,"&lt;="&amp;E$5,'Leave Log'!$D$5:$D$304,"&gt;="&amp;E$5,'Leave Log'!$F$5:$F$304,"&lt;&gt;Rejected",'Leave Log'!$B$5:$B$304,"CL")&gt;0,"CL",IF(COUNTIFS('Leave Log'!$A$5:$A$304,$A20,'Leave Log'!$C$5:$C$304,"&lt;="&amp;E$5,'Leave Log'!$D$5:$D$304,"&gt;="&amp;E$5,'Leave Log'!$F$5:$F$304,"&lt;&gt;Rejected",'Leave Log'!$B$5:$B$304,"UL")&gt;0,"UL",IF(COUNTIFS('Leave Log'!$A$5:$A$304,$A20,'Leave Log'!$C$5:$C$304,"&lt;="&amp;E$5,'Leave Log'!$D$5:$D$304,"&gt;="&amp;E$5,'Leave Log'!$F$5:$F$304,"&lt;&gt;Rejected",'Leave Log'!$B$5:$B$304,"OT")&gt;0,"OT",""))))))</f>
        <v/>
      </c>
      <c r="F20" s="12" t="str">
        <f aca="false">IF(OR(F$5="",$A20=""),"",IF(COUNTIFS('Leave Log'!$A$5:$A$304,$A20,'Leave Log'!$C$5:$C$304,"&lt;="&amp;F$5,'Leave Log'!$D$5:$D$304,"&gt;="&amp;F$5,'Leave Log'!$F$5:$F$304,"&lt;&gt;Rejected",'Leave Log'!$B$5:$B$304,"AL")&gt;0,"AL",IF(COUNTIFS('Leave Log'!$A$5:$A$304,$A20,'Leave Log'!$C$5:$C$304,"&lt;="&amp;F$5,'Leave Log'!$D$5:$D$304,"&gt;="&amp;F$5,'Leave Log'!$F$5:$F$304,"&lt;&gt;Rejected",'Leave Log'!$B$5:$B$304,"SL")&gt;0,"SL",IF(COUNTIFS('Leave Log'!$A$5:$A$304,$A20,'Leave Log'!$C$5:$C$304,"&lt;="&amp;F$5,'Leave Log'!$D$5:$D$304,"&gt;="&amp;F$5,'Leave Log'!$F$5:$F$304,"&lt;&gt;Rejected",'Leave Log'!$B$5:$B$304,"CL")&gt;0,"CL",IF(COUNTIFS('Leave Log'!$A$5:$A$304,$A20,'Leave Log'!$C$5:$C$304,"&lt;="&amp;F$5,'Leave Log'!$D$5:$D$304,"&gt;="&amp;F$5,'Leave Log'!$F$5:$F$304,"&lt;&gt;Rejected",'Leave Log'!$B$5:$B$304,"UL")&gt;0,"UL",IF(COUNTIFS('Leave Log'!$A$5:$A$304,$A20,'Leave Log'!$C$5:$C$304,"&lt;="&amp;F$5,'Leave Log'!$D$5:$D$304,"&gt;="&amp;F$5,'Leave Log'!$F$5:$F$304,"&lt;&gt;Rejected",'Leave Log'!$B$5:$B$304,"OT")&gt;0,"OT",""))))))</f>
        <v/>
      </c>
      <c r="G20" s="12" t="str">
        <f aca="false">IF(OR(G$5="",$A20=""),"",IF(COUNTIFS('Leave Log'!$A$5:$A$304,$A20,'Leave Log'!$C$5:$C$304,"&lt;="&amp;G$5,'Leave Log'!$D$5:$D$304,"&gt;="&amp;G$5,'Leave Log'!$F$5:$F$304,"&lt;&gt;Rejected",'Leave Log'!$B$5:$B$304,"AL")&gt;0,"AL",IF(COUNTIFS('Leave Log'!$A$5:$A$304,$A20,'Leave Log'!$C$5:$C$304,"&lt;="&amp;G$5,'Leave Log'!$D$5:$D$304,"&gt;="&amp;G$5,'Leave Log'!$F$5:$F$304,"&lt;&gt;Rejected",'Leave Log'!$B$5:$B$304,"SL")&gt;0,"SL",IF(COUNTIFS('Leave Log'!$A$5:$A$304,$A20,'Leave Log'!$C$5:$C$304,"&lt;="&amp;G$5,'Leave Log'!$D$5:$D$304,"&gt;="&amp;G$5,'Leave Log'!$F$5:$F$304,"&lt;&gt;Rejected",'Leave Log'!$B$5:$B$304,"CL")&gt;0,"CL",IF(COUNTIFS('Leave Log'!$A$5:$A$304,$A20,'Leave Log'!$C$5:$C$304,"&lt;="&amp;G$5,'Leave Log'!$D$5:$D$304,"&gt;="&amp;G$5,'Leave Log'!$F$5:$F$304,"&lt;&gt;Rejected",'Leave Log'!$B$5:$B$304,"UL")&gt;0,"UL",IF(COUNTIFS('Leave Log'!$A$5:$A$304,$A20,'Leave Log'!$C$5:$C$304,"&lt;="&amp;G$5,'Leave Log'!$D$5:$D$304,"&gt;="&amp;G$5,'Leave Log'!$F$5:$F$304,"&lt;&gt;Rejected",'Leave Log'!$B$5:$B$304,"OT")&gt;0,"OT",""))))))</f>
        <v/>
      </c>
      <c r="H20" s="12" t="str">
        <f aca="false">IF(OR(H$5="",$A20=""),"",IF(COUNTIFS('Leave Log'!$A$5:$A$304,$A20,'Leave Log'!$C$5:$C$304,"&lt;="&amp;H$5,'Leave Log'!$D$5:$D$304,"&gt;="&amp;H$5,'Leave Log'!$F$5:$F$304,"&lt;&gt;Rejected",'Leave Log'!$B$5:$B$304,"AL")&gt;0,"AL",IF(COUNTIFS('Leave Log'!$A$5:$A$304,$A20,'Leave Log'!$C$5:$C$304,"&lt;="&amp;H$5,'Leave Log'!$D$5:$D$304,"&gt;="&amp;H$5,'Leave Log'!$F$5:$F$304,"&lt;&gt;Rejected",'Leave Log'!$B$5:$B$304,"SL")&gt;0,"SL",IF(COUNTIFS('Leave Log'!$A$5:$A$304,$A20,'Leave Log'!$C$5:$C$304,"&lt;="&amp;H$5,'Leave Log'!$D$5:$D$304,"&gt;="&amp;H$5,'Leave Log'!$F$5:$F$304,"&lt;&gt;Rejected",'Leave Log'!$B$5:$B$304,"CL")&gt;0,"CL",IF(COUNTIFS('Leave Log'!$A$5:$A$304,$A20,'Leave Log'!$C$5:$C$304,"&lt;="&amp;H$5,'Leave Log'!$D$5:$D$304,"&gt;="&amp;H$5,'Leave Log'!$F$5:$F$304,"&lt;&gt;Rejected",'Leave Log'!$B$5:$B$304,"UL")&gt;0,"UL",IF(COUNTIFS('Leave Log'!$A$5:$A$304,$A20,'Leave Log'!$C$5:$C$304,"&lt;="&amp;H$5,'Leave Log'!$D$5:$D$304,"&gt;="&amp;H$5,'Leave Log'!$F$5:$F$304,"&lt;&gt;Rejected",'Leave Log'!$B$5:$B$304,"OT")&gt;0,"OT",""))))))</f>
        <v/>
      </c>
      <c r="I20" s="12" t="str">
        <f aca="false">IF(OR(I$5="",$A20=""),"",IF(COUNTIFS('Leave Log'!$A$5:$A$304,$A20,'Leave Log'!$C$5:$C$304,"&lt;="&amp;I$5,'Leave Log'!$D$5:$D$304,"&gt;="&amp;I$5,'Leave Log'!$F$5:$F$304,"&lt;&gt;Rejected",'Leave Log'!$B$5:$B$304,"AL")&gt;0,"AL",IF(COUNTIFS('Leave Log'!$A$5:$A$304,$A20,'Leave Log'!$C$5:$C$304,"&lt;="&amp;I$5,'Leave Log'!$D$5:$D$304,"&gt;="&amp;I$5,'Leave Log'!$F$5:$F$304,"&lt;&gt;Rejected",'Leave Log'!$B$5:$B$304,"SL")&gt;0,"SL",IF(COUNTIFS('Leave Log'!$A$5:$A$304,$A20,'Leave Log'!$C$5:$C$304,"&lt;="&amp;I$5,'Leave Log'!$D$5:$D$304,"&gt;="&amp;I$5,'Leave Log'!$F$5:$F$304,"&lt;&gt;Rejected",'Leave Log'!$B$5:$B$304,"CL")&gt;0,"CL",IF(COUNTIFS('Leave Log'!$A$5:$A$304,$A20,'Leave Log'!$C$5:$C$304,"&lt;="&amp;I$5,'Leave Log'!$D$5:$D$304,"&gt;="&amp;I$5,'Leave Log'!$F$5:$F$304,"&lt;&gt;Rejected",'Leave Log'!$B$5:$B$304,"UL")&gt;0,"UL",IF(COUNTIFS('Leave Log'!$A$5:$A$304,$A20,'Leave Log'!$C$5:$C$304,"&lt;="&amp;I$5,'Leave Log'!$D$5:$D$304,"&gt;="&amp;I$5,'Leave Log'!$F$5:$F$304,"&lt;&gt;Rejected",'Leave Log'!$B$5:$B$304,"OT")&gt;0,"OT",""))))))</f>
        <v/>
      </c>
      <c r="J20" s="12" t="str">
        <f aca="false">IF(OR(J$5="",$A20=""),"",IF(COUNTIFS('Leave Log'!$A$5:$A$304,$A20,'Leave Log'!$C$5:$C$304,"&lt;="&amp;J$5,'Leave Log'!$D$5:$D$304,"&gt;="&amp;J$5,'Leave Log'!$F$5:$F$304,"&lt;&gt;Rejected",'Leave Log'!$B$5:$B$304,"AL")&gt;0,"AL",IF(COUNTIFS('Leave Log'!$A$5:$A$304,$A20,'Leave Log'!$C$5:$C$304,"&lt;="&amp;J$5,'Leave Log'!$D$5:$D$304,"&gt;="&amp;J$5,'Leave Log'!$F$5:$F$304,"&lt;&gt;Rejected",'Leave Log'!$B$5:$B$304,"SL")&gt;0,"SL",IF(COUNTIFS('Leave Log'!$A$5:$A$304,$A20,'Leave Log'!$C$5:$C$304,"&lt;="&amp;J$5,'Leave Log'!$D$5:$D$304,"&gt;="&amp;J$5,'Leave Log'!$F$5:$F$304,"&lt;&gt;Rejected",'Leave Log'!$B$5:$B$304,"CL")&gt;0,"CL",IF(COUNTIFS('Leave Log'!$A$5:$A$304,$A20,'Leave Log'!$C$5:$C$304,"&lt;="&amp;J$5,'Leave Log'!$D$5:$D$304,"&gt;="&amp;J$5,'Leave Log'!$F$5:$F$304,"&lt;&gt;Rejected",'Leave Log'!$B$5:$B$304,"UL")&gt;0,"UL",IF(COUNTIFS('Leave Log'!$A$5:$A$304,$A20,'Leave Log'!$C$5:$C$304,"&lt;="&amp;J$5,'Leave Log'!$D$5:$D$304,"&gt;="&amp;J$5,'Leave Log'!$F$5:$F$304,"&lt;&gt;Rejected",'Leave Log'!$B$5:$B$304,"OT")&gt;0,"OT",""))))))</f>
        <v/>
      </c>
      <c r="K20" s="12" t="str">
        <f aca="false">IF(OR(K$5="",$A20=""),"",IF(COUNTIFS('Leave Log'!$A$5:$A$304,$A20,'Leave Log'!$C$5:$C$304,"&lt;="&amp;K$5,'Leave Log'!$D$5:$D$304,"&gt;="&amp;K$5,'Leave Log'!$F$5:$F$304,"&lt;&gt;Rejected",'Leave Log'!$B$5:$B$304,"AL")&gt;0,"AL",IF(COUNTIFS('Leave Log'!$A$5:$A$304,$A20,'Leave Log'!$C$5:$C$304,"&lt;="&amp;K$5,'Leave Log'!$D$5:$D$304,"&gt;="&amp;K$5,'Leave Log'!$F$5:$F$304,"&lt;&gt;Rejected",'Leave Log'!$B$5:$B$304,"SL")&gt;0,"SL",IF(COUNTIFS('Leave Log'!$A$5:$A$304,$A20,'Leave Log'!$C$5:$C$304,"&lt;="&amp;K$5,'Leave Log'!$D$5:$D$304,"&gt;="&amp;K$5,'Leave Log'!$F$5:$F$304,"&lt;&gt;Rejected",'Leave Log'!$B$5:$B$304,"CL")&gt;0,"CL",IF(COUNTIFS('Leave Log'!$A$5:$A$304,$A20,'Leave Log'!$C$5:$C$304,"&lt;="&amp;K$5,'Leave Log'!$D$5:$D$304,"&gt;="&amp;K$5,'Leave Log'!$F$5:$F$304,"&lt;&gt;Rejected",'Leave Log'!$B$5:$B$304,"UL")&gt;0,"UL",IF(COUNTIFS('Leave Log'!$A$5:$A$304,$A20,'Leave Log'!$C$5:$C$304,"&lt;="&amp;K$5,'Leave Log'!$D$5:$D$304,"&gt;="&amp;K$5,'Leave Log'!$F$5:$F$304,"&lt;&gt;Rejected",'Leave Log'!$B$5:$B$304,"OT")&gt;0,"OT",""))))))</f>
        <v/>
      </c>
      <c r="L20" s="12" t="str">
        <f aca="false">IF(OR(L$5="",$A20=""),"",IF(COUNTIFS('Leave Log'!$A$5:$A$304,$A20,'Leave Log'!$C$5:$C$304,"&lt;="&amp;L$5,'Leave Log'!$D$5:$D$304,"&gt;="&amp;L$5,'Leave Log'!$F$5:$F$304,"&lt;&gt;Rejected",'Leave Log'!$B$5:$B$304,"AL")&gt;0,"AL",IF(COUNTIFS('Leave Log'!$A$5:$A$304,$A20,'Leave Log'!$C$5:$C$304,"&lt;="&amp;L$5,'Leave Log'!$D$5:$D$304,"&gt;="&amp;L$5,'Leave Log'!$F$5:$F$304,"&lt;&gt;Rejected",'Leave Log'!$B$5:$B$304,"SL")&gt;0,"SL",IF(COUNTIFS('Leave Log'!$A$5:$A$304,$A20,'Leave Log'!$C$5:$C$304,"&lt;="&amp;L$5,'Leave Log'!$D$5:$D$304,"&gt;="&amp;L$5,'Leave Log'!$F$5:$F$304,"&lt;&gt;Rejected",'Leave Log'!$B$5:$B$304,"CL")&gt;0,"CL",IF(COUNTIFS('Leave Log'!$A$5:$A$304,$A20,'Leave Log'!$C$5:$C$304,"&lt;="&amp;L$5,'Leave Log'!$D$5:$D$304,"&gt;="&amp;L$5,'Leave Log'!$F$5:$F$304,"&lt;&gt;Rejected",'Leave Log'!$B$5:$B$304,"UL")&gt;0,"UL",IF(COUNTIFS('Leave Log'!$A$5:$A$304,$A20,'Leave Log'!$C$5:$C$304,"&lt;="&amp;L$5,'Leave Log'!$D$5:$D$304,"&gt;="&amp;L$5,'Leave Log'!$F$5:$F$304,"&lt;&gt;Rejected",'Leave Log'!$B$5:$B$304,"OT")&gt;0,"OT",""))))))</f>
        <v/>
      </c>
      <c r="M20" s="12" t="str">
        <f aca="false">IF(OR(M$5="",$A20=""),"",IF(COUNTIFS('Leave Log'!$A$5:$A$304,$A20,'Leave Log'!$C$5:$C$304,"&lt;="&amp;M$5,'Leave Log'!$D$5:$D$304,"&gt;="&amp;M$5,'Leave Log'!$F$5:$F$304,"&lt;&gt;Rejected",'Leave Log'!$B$5:$B$304,"AL")&gt;0,"AL",IF(COUNTIFS('Leave Log'!$A$5:$A$304,$A20,'Leave Log'!$C$5:$C$304,"&lt;="&amp;M$5,'Leave Log'!$D$5:$D$304,"&gt;="&amp;M$5,'Leave Log'!$F$5:$F$304,"&lt;&gt;Rejected",'Leave Log'!$B$5:$B$304,"SL")&gt;0,"SL",IF(COUNTIFS('Leave Log'!$A$5:$A$304,$A20,'Leave Log'!$C$5:$C$304,"&lt;="&amp;M$5,'Leave Log'!$D$5:$D$304,"&gt;="&amp;M$5,'Leave Log'!$F$5:$F$304,"&lt;&gt;Rejected",'Leave Log'!$B$5:$B$304,"CL")&gt;0,"CL",IF(COUNTIFS('Leave Log'!$A$5:$A$304,$A20,'Leave Log'!$C$5:$C$304,"&lt;="&amp;M$5,'Leave Log'!$D$5:$D$304,"&gt;="&amp;M$5,'Leave Log'!$F$5:$F$304,"&lt;&gt;Rejected",'Leave Log'!$B$5:$B$304,"UL")&gt;0,"UL",IF(COUNTIFS('Leave Log'!$A$5:$A$304,$A20,'Leave Log'!$C$5:$C$304,"&lt;="&amp;M$5,'Leave Log'!$D$5:$D$304,"&gt;="&amp;M$5,'Leave Log'!$F$5:$F$304,"&lt;&gt;Rejected",'Leave Log'!$B$5:$B$304,"OT")&gt;0,"OT",""))))))</f>
        <v/>
      </c>
      <c r="N20" s="12" t="str">
        <f aca="false">IF(OR(N$5="",$A20=""),"",IF(COUNTIFS('Leave Log'!$A$5:$A$304,$A20,'Leave Log'!$C$5:$C$304,"&lt;="&amp;N$5,'Leave Log'!$D$5:$D$304,"&gt;="&amp;N$5,'Leave Log'!$F$5:$F$304,"&lt;&gt;Rejected",'Leave Log'!$B$5:$B$304,"AL")&gt;0,"AL",IF(COUNTIFS('Leave Log'!$A$5:$A$304,$A20,'Leave Log'!$C$5:$C$304,"&lt;="&amp;N$5,'Leave Log'!$D$5:$D$304,"&gt;="&amp;N$5,'Leave Log'!$F$5:$F$304,"&lt;&gt;Rejected",'Leave Log'!$B$5:$B$304,"SL")&gt;0,"SL",IF(COUNTIFS('Leave Log'!$A$5:$A$304,$A20,'Leave Log'!$C$5:$C$304,"&lt;="&amp;N$5,'Leave Log'!$D$5:$D$304,"&gt;="&amp;N$5,'Leave Log'!$F$5:$F$304,"&lt;&gt;Rejected",'Leave Log'!$B$5:$B$304,"CL")&gt;0,"CL",IF(COUNTIFS('Leave Log'!$A$5:$A$304,$A20,'Leave Log'!$C$5:$C$304,"&lt;="&amp;N$5,'Leave Log'!$D$5:$D$304,"&gt;="&amp;N$5,'Leave Log'!$F$5:$F$304,"&lt;&gt;Rejected",'Leave Log'!$B$5:$B$304,"UL")&gt;0,"UL",IF(COUNTIFS('Leave Log'!$A$5:$A$304,$A20,'Leave Log'!$C$5:$C$304,"&lt;="&amp;N$5,'Leave Log'!$D$5:$D$304,"&gt;="&amp;N$5,'Leave Log'!$F$5:$F$304,"&lt;&gt;Rejected",'Leave Log'!$B$5:$B$304,"OT")&gt;0,"OT",""))))))</f>
        <v/>
      </c>
      <c r="O20" s="12" t="str">
        <f aca="false">IF(OR(O$5="",$A20=""),"",IF(COUNTIFS('Leave Log'!$A$5:$A$304,$A20,'Leave Log'!$C$5:$C$304,"&lt;="&amp;O$5,'Leave Log'!$D$5:$D$304,"&gt;="&amp;O$5,'Leave Log'!$F$5:$F$304,"&lt;&gt;Rejected",'Leave Log'!$B$5:$B$304,"AL")&gt;0,"AL",IF(COUNTIFS('Leave Log'!$A$5:$A$304,$A20,'Leave Log'!$C$5:$C$304,"&lt;="&amp;O$5,'Leave Log'!$D$5:$D$304,"&gt;="&amp;O$5,'Leave Log'!$F$5:$F$304,"&lt;&gt;Rejected",'Leave Log'!$B$5:$B$304,"SL")&gt;0,"SL",IF(COUNTIFS('Leave Log'!$A$5:$A$304,$A20,'Leave Log'!$C$5:$C$304,"&lt;="&amp;O$5,'Leave Log'!$D$5:$D$304,"&gt;="&amp;O$5,'Leave Log'!$F$5:$F$304,"&lt;&gt;Rejected",'Leave Log'!$B$5:$B$304,"CL")&gt;0,"CL",IF(COUNTIFS('Leave Log'!$A$5:$A$304,$A20,'Leave Log'!$C$5:$C$304,"&lt;="&amp;O$5,'Leave Log'!$D$5:$D$304,"&gt;="&amp;O$5,'Leave Log'!$F$5:$F$304,"&lt;&gt;Rejected",'Leave Log'!$B$5:$B$304,"UL")&gt;0,"UL",IF(COUNTIFS('Leave Log'!$A$5:$A$304,$A20,'Leave Log'!$C$5:$C$304,"&lt;="&amp;O$5,'Leave Log'!$D$5:$D$304,"&gt;="&amp;O$5,'Leave Log'!$F$5:$F$304,"&lt;&gt;Rejected",'Leave Log'!$B$5:$B$304,"OT")&gt;0,"OT",""))))))</f>
        <v/>
      </c>
      <c r="P20" s="12" t="str">
        <f aca="false">IF(OR(P$5="",$A20=""),"",IF(COUNTIFS('Leave Log'!$A$5:$A$304,$A20,'Leave Log'!$C$5:$C$304,"&lt;="&amp;P$5,'Leave Log'!$D$5:$D$304,"&gt;="&amp;P$5,'Leave Log'!$F$5:$F$304,"&lt;&gt;Rejected",'Leave Log'!$B$5:$B$304,"AL")&gt;0,"AL",IF(COUNTIFS('Leave Log'!$A$5:$A$304,$A20,'Leave Log'!$C$5:$C$304,"&lt;="&amp;P$5,'Leave Log'!$D$5:$D$304,"&gt;="&amp;P$5,'Leave Log'!$F$5:$F$304,"&lt;&gt;Rejected",'Leave Log'!$B$5:$B$304,"SL")&gt;0,"SL",IF(COUNTIFS('Leave Log'!$A$5:$A$304,$A20,'Leave Log'!$C$5:$C$304,"&lt;="&amp;P$5,'Leave Log'!$D$5:$D$304,"&gt;="&amp;P$5,'Leave Log'!$F$5:$F$304,"&lt;&gt;Rejected",'Leave Log'!$B$5:$B$304,"CL")&gt;0,"CL",IF(COUNTIFS('Leave Log'!$A$5:$A$304,$A20,'Leave Log'!$C$5:$C$304,"&lt;="&amp;P$5,'Leave Log'!$D$5:$D$304,"&gt;="&amp;P$5,'Leave Log'!$F$5:$F$304,"&lt;&gt;Rejected",'Leave Log'!$B$5:$B$304,"UL")&gt;0,"UL",IF(COUNTIFS('Leave Log'!$A$5:$A$304,$A20,'Leave Log'!$C$5:$C$304,"&lt;="&amp;P$5,'Leave Log'!$D$5:$D$304,"&gt;="&amp;P$5,'Leave Log'!$F$5:$F$304,"&lt;&gt;Rejected",'Leave Log'!$B$5:$B$304,"OT")&gt;0,"OT",""))))))</f>
        <v/>
      </c>
      <c r="Q20" s="12" t="str">
        <f aca="false">IF(OR(Q$5="",$A20=""),"",IF(COUNTIFS('Leave Log'!$A$5:$A$304,$A20,'Leave Log'!$C$5:$C$304,"&lt;="&amp;Q$5,'Leave Log'!$D$5:$D$304,"&gt;="&amp;Q$5,'Leave Log'!$F$5:$F$304,"&lt;&gt;Rejected",'Leave Log'!$B$5:$B$304,"AL")&gt;0,"AL",IF(COUNTIFS('Leave Log'!$A$5:$A$304,$A20,'Leave Log'!$C$5:$C$304,"&lt;="&amp;Q$5,'Leave Log'!$D$5:$D$304,"&gt;="&amp;Q$5,'Leave Log'!$F$5:$F$304,"&lt;&gt;Rejected",'Leave Log'!$B$5:$B$304,"SL")&gt;0,"SL",IF(COUNTIFS('Leave Log'!$A$5:$A$304,$A20,'Leave Log'!$C$5:$C$304,"&lt;="&amp;Q$5,'Leave Log'!$D$5:$D$304,"&gt;="&amp;Q$5,'Leave Log'!$F$5:$F$304,"&lt;&gt;Rejected",'Leave Log'!$B$5:$B$304,"CL")&gt;0,"CL",IF(COUNTIFS('Leave Log'!$A$5:$A$304,$A20,'Leave Log'!$C$5:$C$304,"&lt;="&amp;Q$5,'Leave Log'!$D$5:$D$304,"&gt;="&amp;Q$5,'Leave Log'!$F$5:$F$304,"&lt;&gt;Rejected",'Leave Log'!$B$5:$B$304,"UL")&gt;0,"UL",IF(COUNTIFS('Leave Log'!$A$5:$A$304,$A20,'Leave Log'!$C$5:$C$304,"&lt;="&amp;Q$5,'Leave Log'!$D$5:$D$304,"&gt;="&amp;Q$5,'Leave Log'!$F$5:$F$304,"&lt;&gt;Rejected",'Leave Log'!$B$5:$B$304,"OT")&gt;0,"OT",""))))))</f>
        <v/>
      </c>
      <c r="R20" s="12" t="str">
        <f aca="false">IF(OR(R$5="",$A20=""),"",IF(COUNTIFS('Leave Log'!$A$5:$A$304,$A20,'Leave Log'!$C$5:$C$304,"&lt;="&amp;R$5,'Leave Log'!$D$5:$D$304,"&gt;="&amp;R$5,'Leave Log'!$F$5:$F$304,"&lt;&gt;Rejected",'Leave Log'!$B$5:$B$304,"AL")&gt;0,"AL",IF(COUNTIFS('Leave Log'!$A$5:$A$304,$A20,'Leave Log'!$C$5:$C$304,"&lt;="&amp;R$5,'Leave Log'!$D$5:$D$304,"&gt;="&amp;R$5,'Leave Log'!$F$5:$F$304,"&lt;&gt;Rejected",'Leave Log'!$B$5:$B$304,"SL")&gt;0,"SL",IF(COUNTIFS('Leave Log'!$A$5:$A$304,$A20,'Leave Log'!$C$5:$C$304,"&lt;="&amp;R$5,'Leave Log'!$D$5:$D$304,"&gt;="&amp;R$5,'Leave Log'!$F$5:$F$304,"&lt;&gt;Rejected",'Leave Log'!$B$5:$B$304,"CL")&gt;0,"CL",IF(COUNTIFS('Leave Log'!$A$5:$A$304,$A20,'Leave Log'!$C$5:$C$304,"&lt;="&amp;R$5,'Leave Log'!$D$5:$D$304,"&gt;="&amp;R$5,'Leave Log'!$F$5:$F$304,"&lt;&gt;Rejected",'Leave Log'!$B$5:$B$304,"UL")&gt;0,"UL",IF(COUNTIFS('Leave Log'!$A$5:$A$304,$A20,'Leave Log'!$C$5:$C$304,"&lt;="&amp;R$5,'Leave Log'!$D$5:$D$304,"&gt;="&amp;R$5,'Leave Log'!$F$5:$F$304,"&lt;&gt;Rejected",'Leave Log'!$B$5:$B$304,"OT")&gt;0,"OT",""))))))</f>
        <v/>
      </c>
      <c r="S20" s="12" t="str">
        <f aca="false">IF(OR(S$5="",$A20=""),"",IF(COUNTIFS('Leave Log'!$A$5:$A$304,$A20,'Leave Log'!$C$5:$C$304,"&lt;="&amp;S$5,'Leave Log'!$D$5:$D$304,"&gt;="&amp;S$5,'Leave Log'!$F$5:$F$304,"&lt;&gt;Rejected",'Leave Log'!$B$5:$B$304,"AL")&gt;0,"AL",IF(COUNTIFS('Leave Log'!$A$5:$A$304,$A20,'Leave Log'!$C$5:$C$304,"&lt;="&amp;S$5,'Leave Log'!$D$5:$D$304,"&gt;="&amp;S$5,'Leave Log'!$F$5:$F$304,"&lt;&gt;Rejected",'Leave Log'!$B$5:$B$304,"SL")&gt;0,"SL",IF(COUNTIFS('Leave Log'!$A$5:$A$304,$A20,'Leave Log'!$C$5:$C$304,"&lt;="&amp;S$5,'Leave Log'!$D$5:$D$304,"&gt;="&amp;S$5,'Leave Log'!$F$5:$F$304,"&lt;&gt;Rejected",'Leave Log'!$B$5:$B$304,"CL")&gt;0,"CL",IF(COUNTIFS('Leave Log'!$A$5:$A$304,$A20,'Leave Log'!$C$5:$C$304,"&lt;="&amp;S$5,'Leave Log'!$D$5:$D$304,"&gt;="&amp;S$5,'Leave Log'!$F$5:$F$304,"&lt;&gt;Rejected",'Leave Log'!$B$5:$B$304,"UL")&gt;0,"UL",IF(COUNTIFS('Leave Log'!$A$5:$A$304,$A20,'Leave Log'!$C$5:$C$304,"&lt;="&amp;S$5,'Leave Log'!$D$5:$D$304,"&gt;="&amp;S$5,'Leave Log'!$F$5:$F$304,"&lt;&gt;Rejected",'Leave Log'!$B$5:$B$304,"OT")&gt;0,"OT",""))))))</f>
        <v/>
      </c>
      <c r="T20" s="12" t="str">
        <f aca="false">IF(OR(T$5="",$A20=""),"",IF(COUNTIFS('Leave Log'!$A$5:$A$304,$A20,'Leave Log'!$C$5:$C$304,"&lt;="&amp;T$5,'Leave Log'!$D$5:$D$304,"&gt;="&amp;T$5,'Leave Log'!$F$5:$F$304,"&lt;&gt;Rejected",'Leave Log'!$B$5:$B$304,"AL")&gt;0,"AL",IF(COUNTIFS('Leave Log'!$A$5:$A$304,$A20,'Leave Log'!$C$5:$C$304,"&lt;="&amp;T$5,'Leave Log'!$D$5:$D$304,"&gt;="&amp;T$5,'Leave Log'!$F$5:$F$304,"&lt;&gt;Rejected",'Leave Log'!$B$5:$B$304,"SL")&gt;0,"SL",IF(COUNTIFS('Leave Log'!$A$5:$A$304,$A20,'Leave Log'!$C$5:$C$304,"&lt;="&amp;T$5,'Leave Log'!$D$5:$D$304,"&gt;="&amp;T$5,'Leave Log'!$F$5:$F$304,"&lt;&gt;Rejected",'Leave Log'!$B$5:$B$304,"CL")&gt;0,"CL",IF(COUNTIFS('Leave Log'!$A$5:$A$304,$A20,'Leave Log'!$C$5:$C$304,"&lt;="&amp;T$5,'Leave Log'!$D$5:$D$304,"&gt;="&amp;T$5,'Leave Log'!$F$5:$F$304,"&lt;&gt;Rejected",'Leave Log'!$B$5:$B$304,"UL")&gt;0,"UL",IF(COUNTIFS('Leave Log'!$A$5:$A$304,$A20,'Leave Log'!$C$5:$C$304,"&lt;="&amp;T$5,'Leave Log'!$D$5:$D$304,"&gt;="&amp;T$5,'Leave Log'!$F$5:$F$304,"&lt;&gt;Rejected",'Leave Log'!$B$5:$B$304,"OT")&gt;0,"OT",""))))))</f>
        <v/>
      </c>
      <c r="U20" s="12" t="str">
        <f aca="false">IF(OR(U$5="",$A20=""),"",IF(COUNTIFS('Leave Log'!$A$5:$A$304,$A20,'Leave Log'!$C$5:$C$304,"&lt;="&amp;U$5,'Leave Log'!$D$5:$D$304,"&gt;="&amp;U$5,'Leave Log'!$F$5:$F$304,"&lt;&gt;Rejected",'Leave Log'!$B$5:$B$304,"AL")&gt;0,"AL",IF(COUNTIFS('Leave Log'!$A$5:$A$304,$A20,'Leave Log'!$C$5:$C$304,"&lt;="&amp;U$5,'Leave Log'!$D$5:$D$304,"&gt;="&amp;U$5,'Leave Log'!$F$5:$F$304,"&lt;&gt;Rejected",'Leave Log'!$B$5:$B$304,"SL")&gt;0,"SL",IF(COUNTIFS('Leave Log'!$A$5:$A$304,$A20,'Leave Log'!$C$5:$C$304,"&lt;="&amp;U$5,'Leave Log'!$D$5:$D$304,"&gt;="&amp;U$5,'Leave Log'!$F$5:$F$304,"&lt;&gt;Rejected",'Leave Log'!$B$5:$B$304,"CL")&gt;0,"CL",IF(COUNTIFS('Leave Log'!$A$5:$A$304,$A20,'Leave Log'!$C$5:$C$304,"&lt;="&amp;U$5,'Leave Log'!$D$5:$D$304,"&gt;="&amp;U$5,'Leave Log'!$F$5:$F$304,"&lt;&gt;Rejected",'Leave Log'!$B$5:$B$304,"UL")&gt;0,"UL",IF(COUNTIFS('Leave Log'!$A$5:$A$304,$A20,'Leave Log'!$C$5:$C$304,"&lt;="&amp;U$5,'Leave Log'!$D$5:$D$304,"&gt;="&amp;U$5,'Leave Log'!$F$5:$F$304,"&lt;&gt;Rejected",'Leave Log'!$B$5:$B$304,"OT")&gt;0,"OT",""))))))</f>
        <v/>
      </c>
      <c r="V20" s="12" t="str">
        <f aca="false">IF(OR(V$5="",$A20=""),"",IF(COUNTIFS('Leave Log'!$A$5:$A$304,$A20,'Leave Log'!$C$5:$C$304,"&lt;="&amp;V$5,'Leave Log'!$D$5:$D$304,"&gt;="&amp;V$5,'Leave Log'!$F$5:$F$304,"&lt;&gt;Rejected",'Leave Log'!$B$5:$B$304,"AL")&gt;0,"AL",IF(COUNTIFS('Leave Log'!$A$5:$A$304,$A20,'Leave Log'!$C$5:$C$304,"&lt;="&amp;V$5,'Leave Log'!$D$5:$D$304,"&gt;="&amp;V$5,'Leave Log'!$F$5:$F$304,"&lt;&gt;Rejected",'Leave Log'!$B$5:$B$304,"SL")&gt;0,"SL",IF(COUNTIFS('Leave Log'!$A$5:$A$304,$A20,'Leave Log'!$C$5:$C$304,"&lt;="&amp;V$5,'Leave Log'!$D$5:$D$304,"&gt;="&amp;V$5,'Leave Log'!$F$5:$F$304,"&lt;&gt;Rejected",'Leave Log'!$B$5:$B$304,"CL")&gt;0,"CL",IF(COUNTIFS('Leave Log'!$A$5:$A$304,$A20,'Leave Log'!$C$5:$C$304,"&lt;="&amp;V$5,'Leave Log'!$D$5:$D$304,"&gt;="&amp;V$5,'Leave Log'!$F$5:$F$304,"&lt;&gt;Rejected",'Leave Log'!$B$5:$B$304,"UL")&gt;0,"UL",IF(COUNTIFS('Leave Log'!$A$5:$A$304,$A20,'Leave Log'!$C$5:$C$304,"&lt;="&amp;V$5,'Leave Log'!$D$5:$D$304,"&gt;="&amp;V$5,'Leave Log'!$F$5:$F$304,"&lt;&gt;Rejected",'Leave Log'!$B$5:$B$304,"OT")&gt;0,"OT",""))))))</f>
        <v/>
      </c>
      <c r="W20" s="12" t="str">
        <f aca="false">IF(OR(W$5="",$A20=""),"",IF(COUNTIFS('Leave Log'!$A$5:$A$304,$A20,'Leave Log'!$C$5:$C$304,"&lt;="&amp;W$5,'Leave Log'!$D$5:$D$304,"&gt;="&amp;W$5,'Leave Log'!$F$5:$F$304,"&lt;&gt;Rejected",'Leave Log'!$B$5:$B$304,"AL")&gt;0,"AL",IF(COUNTIFS('Leave Log'!$A$5:$A$304,$A20,'Leave Log'!$C$5:$C$304,"&lt;="&amp;W$5,'Leave Log'!$D$5:$D$304,"&gt;="&amp;W$5,'Leave Log'!$F$5:$F$304,"&lt;&gt;Rejected",'Leave Log'!$B$5:$B$304,"SL")&gt;0,"SL",IF(COUNTIFS('Leave Log'!$A$5:$A$304,$A20,'Leave Log'!$C$5:$C$304,"&lt;="&amp;W$5,'Leave Log'!$D$5:$D$304,"&gt;="&amp;W$5,'Leave Log'!$F$5:$F$304,"&lt;&gt;Rejected",'Leave Log'!$B$5:$B$304,"CL")&gt;0,"CL",IF(COUNTIFS('Leave Log'!$A$5:$A$304,$A20,'Leave Log'!$C$5:$C$304,"&lt;="&amp;W$5,'Leave Log'!$D$5:$D$304,"&gt;="&amp;W$5,'Leave Log'!$F$5:$F$304,"&lt;&gt;Rejected",'Leave Log'!$B$5:$B$304,"UL")&gt;0,"UL",IF(COUNTIFS('Leave Log'!$A$5:$A$304,$A20,'Leave Log'!$C$5:$C$304,"&lt;="&amp;W$5,'Leave Log'!$D$5:$D$304,"&gt;="&amp;W$5,'Leave Log'!$F$5:$F$304,"&lt;&gt;Rejected",'Leave Log'!$B$5:$B$304,"OT")&gt;0,"OT",""))))))</f>
        <v/>
      </c>
      <c r="X20" s="12" t="str">
        <f aca="false">IF(OR(X$5="",$A20=""),"",IF(COUNTIFS('Leave Log'!$A$5:$A$304,$A20,'Leave Log'!$C$5:$C$304,"&lt;="&amp;X$5,'Leave Log'!$D$5:$D$304,"&gt;="&amp;X$5,'Leave Log'!$F$5:$F$304,"&lt;&gt;Rejected",'Leave Log'!$B$5:$B$304,"AL")&gt;0,"AL",IF(COUNTIFS('Leave Log'!$A$5:$A$304,$A20,'Leave Log'!$C$5:$C$304,"&lt;="&amp;X$5,'Leave Log'!$D$5:$D$304,"&gt;="&amp;X$5,'Leave Log'!$F$5:$F$304,"&lt;&gt;Rejected",'Leave Log'!$B$5:$B$304,"SL")&gt;0,"SL",IF(COUNTIFS('Leave Log'!$A$5:$A$304,$A20,'Leave Log'!$C$5:$C$304,"&lt;="&amp;X$5,'Leave Log'!$D$5:$D$304,"&gt;="&amp;X$5,'Leave Log'!$F$5:$F$304,"&lt;&gt;Rejected",'Leave Log'!$B$5:$B$304,"CL")&gt;0,"CL",IF(COUNTIFS('Leave Log'!$A$5:$A$304,$A20,'Leave Log'!$C$5:$C$304,"&lt;="&amp;X$5,'Leave Log'!$D$5:$D$304,"&gt;="&amp;X$5,'Leave Log'!$F$5:$F$304,"&lt;&gt;Rejected",'Leave Log'!$B$5:$B$304,"UL")&gt;0,"UL",IF(COUNTIFS('Leave Log'!$A$5:$A$304,$A20,'Leave Log'!$C$5:$C$304,"&lt;="&amp;X$5,'Leave Log'!$D$5:$D$304,"&gt;="&amp;X$5,'Leave Log'!$F$5:$F$304,"&lt;&gt;Rejected",'Leave Log'!$B$5:$B$304,"OT")&gt;0,"OT",""))))))</f>
        <v/>
      </c>
      <c r="Y20" s="12" t="str">
        <f aca="false">IF(OR(Y$5="",$A20=""),"",IF(COUNTIFS('Leave Log'!$A$5:$A$304,$A20,'Leave Log'!$C$5:$C$304,"&lt;="&amp;Y$5,'Leave Log'!$D$5:$D$304,"&gt;="&amp;Y$5,'Leave Log'!$F$5:$F$304,"&lt;&gt;Rejected",'Leave Log'!$B$5:$B$304,"AL")&gt;0,"AL",IF(COUNTIFS('Leave Log'!$A$5:$A$304,$A20,'Leave Log'!$C$5:$C$304,"&lt;="&amp;Y$5,'Leave Log'!$D$5:$D$304,"&gt;="&amp;Y$5,'Leave Log'!$F$5:$F$304,"&lt;&gt;Rejected",'Leave Log'!$B$5:$B$304,"SL")&gt;0,"SL",IF(COUNTIFS('Leave Log'!$A$5:$A$304,$A20,'Leave Log'!$C$5:$C$304,"&lt;="&amp;Y$5,'Leave Log'!$D$5:$D$304,"&gt;="&amp;Y$5,'Leave Log'!$F$5:$F$304,"&lt;&gt;Rejected",'Leave Log'!$B$5:$B$304,"CL")&gt;0,"CL",IF(COUNTIFS('Leave Log'!$A$5:$A$304,$A20,'Leave Log'!$C$5:$C$304,"&lt;="&amp;Y$5,'Leave Log'!$D$5:$D$304,"&gt;="&amp;Y$5,'Leave Log'!$F$5:$F$304,"&lt;&gt;Rejected",'Leave Log'!$B$5:$B$304,"UL")&gt;0,"UL",IF(COUNTIFS('Leave Log'!$A$5:$A$304,$A20,'Leave Log'!$C$5:$C$304,"&lt;="&amp;Y$5,'Leave Log'!$D$5:$D$304,"&gt;="&amp;Y$5,'Leave Log'!$F$5:$F$304,"&lt;&gt;Rejected",'Leave Log'!$B$5:$B$304,"OT")&gt;0,"OT",""))))))</f>
        <v/>
      </c>
      <c r="Z20" s="12" t="str">
        <f aca="false">IF(OR(Z$5="",$A20=""),"",IF(COUNTIFS('Leave Log'!$A$5:$A$304,$A20,'Leave Log'!$C$5:$C$304,"&lt;="&amp;Z$5,'Leave Log'!$D$5:$D$304,"&gt;="&amp;Z$5,'Leave Log'!$F$5:$F$304,"&lt;&gt;Rejected",'Leave Log'!$B$5:$B$304,"AL")&gt;0,"AL",IF(COUNTIFS('Leave Log'!$A$5:$A$304,$A20,'Leave Log'!$C$5:$C$304,"&lt;="&amp;Z$5,'Leave Log'!$D$5:$D$304,"&gt;="&amp;Z$5,'Leave Log'!$F$5:$F$304,"&lt;&gt;Rejected",'Leave Log'!$B$5:$B$304,"SL")&gt;0,"SL",IF(COUNTIFS('Leave Log'!$A$5:$A$304,$A20,'Leave Log'!$C$5:$C$304,"&lt;="&amp;Z$5,'Leave Log'!$D$5:$D$304,"&gt;="&amp;Z$5,'Leave Log'!$F$5:$F$304,"&lt;&gt;Rejected",'Leave Log'!$B$5:$B$304,"CL")&gt;0,"CL",IF(COUNTIFS('Leave Log'!$A$5:$A$304,$A20,'Leave Log'!$C$5:$C$304,"&lt;="&amp;Z$5,'Leave Log'!$D$5:$D$304,"&gt;="&amp;Z$5,'Leave Log'!$F$5:$F$304,"&lt;&gt;Rejected",'Leave Log'!$B$5:$B$304,"UL")&gt;0,"UL",IF(COUNTIFS('Leave Log'!$A$5:$A$304,$A20,'Leave Log'!$C$5:$C$304,"&lt;="&amp;Z$5,'Leave Log'!$D$5:$D$304,"&gt;="&amp;Z$5,'Leave Log'!$F$5:$F$304,"&lt;&gt;Rejected",'Leave Log'!$B$5:$B$304,"OT")&gt;0,"OT",""))))))</f>
        <v/>
      </c>
      <c r="AA20" s="12" t="str">
        <f aca="false">IF(OR(AA$5="",$A20=""),"",IF(COUNTIFS('Leave Log'!$A$5:$A$304,$A20,'Leave Log'!$C$5:$C$304,"&lt;="&amp;AA$5,'Leave Log'!$D$5:$D$304,"&gt;="&amp;AA$5,'Leave Log'!$F$5:$F$304,"&lt;&gt;Rejected",'Leave Log'!$B$5:$B$304,"AL")&gt;0,"AL",IF(COUNTIFS('Leave Log'!$A$5:$A$304,$A20,'Leave Log'!$C$5:$C$304,"&lt;="&amp;AA$5,'Leave Log'!$D$5:$D$304,"&gt;="&amp;AA$5,'Leave Log'!$F$5:$F$304,"&lt;&gt;Rejected",'Leave Log'!$B$5:$B$304,"SL")&gt;0,"SL",IF(COUNTIFS('Leave Log'!$A$5:$A$304,$A20,'Leave Log'!$C$5:$C$304,"&lt;="&amp;AA$5,'Leave Log'!$D$5:$D$304,"&gt;="&amp;AA$5,'Leave Log'!$F$5:$F$304,"&lt;&gt;Rejected",'Leave Log'!$B$5:$B$304,"CL")&gt;0,"CL",IF(COUNTIFS('Leave Log'!$A$5:$A$304,$A20,'Leave Log'!$C$5:$C$304,"&lt;="&amp;AA$5,'Leave Log'!$D$5:$D$304,"&gt;="&amp;AA$5,'Leave Log'!$F$5:$F$304,"&lt;&gt;Rejected",'Leave Log'!$B$5:$B$304,"UL")&gt;0,"UL",IF(COUNTIFS('Leave Log'!$A$5:$A$304,$A20,'Leave Log'!$C$5:$C$304,"&lt;="&amp;AA$5,'Leave Log'!$D$5:$D$304,"&gt;="&amp;AA$5,'Leave Log'!$F$5:$F$304,"&lt;&gt;Rejected",'Leave Log'!$B$5:$B$304,"OT")&gt;0,"OT",""))))))</f>
        <v/>
      </c>
      <c r="AB20" s="12" t="str">
        <f aca="false">IF(OR(AB$5="",$A20=""),"",IF(COUNTIFS('Leave Log'!$A$5:$A$304,$A20,'Leave Log'!$C$5:$C$304,"&lt;="&amp;AB$5,'Leave Log'!$D$5:$D$304,"&gt;="&amp;AB$5,'Leave Log'!$F$5:$F$304,"&lt;&gt;Rejected",'Leave Log'!$B$5:$B$304,"AL")&gt;0,"AL",IF(COUNTIFS('Leave Log'!$A$5:$A$304,$A20,'Leave Log'!$C$5:$C$304,"&lt;="&amp;AB$5,'Leave Log'!$D$5:$D$304,"&gt;="&amp;AB$5,'Leave Log'!$F$5:$F$304,"&lt;&gt;Rejected",'Leave Log'!$B$5:$B$304,"SL")&gt;0,"SL",IF(COUNTIFS('Leave Log'!$A$5:$A$304,$A20,'Leave Log'!$C$5:$C$304,"&lt;="&amp;AB$5,'Leave Log'!$D$5:$D$304,"&gt;="&amp;AB$5,'Leave Log'!$F$5:$F$304,"&lt;&gt;Rejected",'Leave Log'!$B$5:$B$304,"CL")&gt;0,"CL",IF(COUNTIFS('Leave Log'!$A$5:$A$304,$A20,'Leave Log'!$C$5:$C$304,"&lt;="&amp;AB$5,'Leave Log'!$D$5:$D$304,"&gt;="&amp;AB$5,'Leave Log'!$F$5:$F$304,"&lt;&gt;Rejected",'Leave Log'!$B$5:$B$304,"UL")&gt;0,"UL",IF(COUNTIFS('Leave Log'!$A$5:$A$304,$A20,'Leave Log'!$C$5:$C$304,"&lt;="&amp;AB$5,'Leave Log'!$D$5:$D$304,"&gt;="&amp;AB$5,'Leave Log'!$F$5:$F$304,"&lt;&gt;Rejected",'Leave Log'!$B$5:$B$304,"OT")&gt;0,"OT",""))))))</f>
        <v/>
      </c>
      <c r="AC20" s="12" t="str">
        <f aca="false">IF(OR(AC$5="",$A20=""),"",IF(COUNTIFS('Leave Log'!$A$5:$A$304,$A20,'Leave Log'!$C$5:$C$304,"&lt;="&amp;AC$5,'Leave Log'!$D$5:$D$304,"&gt;="&amp;AC$5,'Leave Log'!$F$5:$F$304,"&lt;&gt;Rejected",'Leave Log'!$B$5:$B$304,"AL")&gt;0,"AL",IF(COUNTIFS('Leave Log'!$A$5:$A$304,$A20,'Leave Log'!$C$5:$C$304,"&lt;="&amp;AC$5,'Leave Log'!$D$5:$D$304,"&gt;="&amp;AC$5,'Leave Log'!$F$5:$F$304,"&lt;&gt;Rejected",'Leave Log'!$B$5:$B$304,"SL")&gt;0,"SL",IF(COUNTIFS('Leave Log'!$A$5:$A$304,$A20,'Leave Log'!$C$5:$C$304,"&lt;="&amp;AC$5,'Leave Log'!$D$5:$D$304,"&gt;="&amp;AC$5,'Leave Log'!$F$5:$F$304,"&lt;&gt;Rejected",'Leave Log'!$B$5:$B$304,"CL")&gt;0,"CL",IF(COUNTIFS('Leave Log'!$A$5:$A$304,$A20,'Leave Log'!$C$5:$C$304,"&lt;="&amp;AC$5,'Leave Log'!$D$5:$D$304,"&gt;="&amp;AC$5,'Leave Log'!$F$5:$F$304,"&lt;&gt;Rejected",'Leave Log'!$B$5:$B$304,"UL")&gt;0,"UL",IF(COUNTIFS('Leave Log'!$A$5:$A$304,$A20,'Leave Log'!$C$5:$C$304,"&lt;="&amp;AC$5,'Leave Log'!$D$5:$D$304,"&gt;="&amp;AC$5,'Leave Log'!$F$5:$F$304,"&lt;&gt;Rejected",'Leave Log'!$B$5:$B$304,"OT")&gt;0,"OT",""))))))</f>
        <v/>
      </c>
      <c r="AD20" s="12" t="str">
        <f aca="false">IF(OR(AD$5="",$A20=""),"",IF(COUNTIFS('Leave Log'!$A$5:$A$304,$A20,'Leave Log'!$C$5:$C$304,"&lt;="&amp;AD$5,'Leave Log'!$D$5:$D$304,"&gt;="&amp;AD$5,'Leave Log'!$F$5:$F$304,"&lt;&gt;Rejected",'Leave Log'!$B$5:$B$304,"AL")&gt;0,"AL",IF(COUNTIFS('Leave Log'!$A$5:$A$304,$A20,'Leave Log'!$C$5:$C$304,"&lt;="&amp;AD$5,'Leave Log'!$D$5:$D$304,"&gt;="&amp;AD$5,'Leave Log'!$F$5:$F$304,"&lt;&gt;Rejected",'Leave Log'!$B$5:$B$304,"SL")&gt;0,"SL",IF(COUNTIFS('Leave Log'!$A$5:$A$304,$A20,'Leave Log'!$C$5:$C$304,"&lt;="&amp;AD$5,'Leave Log'!$D$5:$D$304,"&gt;="&amp;AD$5,'Leave Log'!$F$5:$F$304,"&lt;&gt;Rejected",'Leave Log'!$B$5:$B$304,"CL")&gt;0,"CL",IF(COUNTIFS('Leave Log'!$A$5:$A$304,$A20,'Leave Log'!$C$5:$C$304,"&lt;="&amp;AD$5,'Leave Log'!$D$5:$D$304,"&gt;="&amp;AD$5,'Leave Log'!$F$5:$F$304,"&lt;&gt;Rejected",'Leave Log'!$B$5:$B$304,"UL")&gt;0,"UL",IF(COUNTIFS('Leave Log'!$A$5:$A$304,$A20,'Leave Log'!$C$5:$C$304,"&lt;="&amp;AD$5,'Leave Log'!$D$5:$D$304,"&gt;="&amp;AD$5,'Leave Log'!$F$5:$F$304,"&lt;&gt;Rejected",'Leave Log'!$B$5:$B$304,"OT")&gt;0,"OT",""))))))</f>
        <v/>
      </c>
      <c r="AE20" s="12" t="str">
        <f aca="false">IF(OR(AE$5="",$A20=""),"",IF(COUNTIFS('Leave Log'!$A$5:$A$304,$A20,'Leave Log'!$C$5:$C$304,"&lt;="&amp;AE$5,'Leave Log'!$D$5:$D$304,"&gt;="&amp;AE$5,'Leave Log'!$F$5:$F$304,"&lt;&gt;Rejected",'Leave Log'!$B$5:$B$304,"AL")&gt;0,"AL",IF(COUNTIFS('Leave Log'!$A$5:$A$304,$A20,'Leave Log'!$C$5:$C$304,"&lt;="&amp;AE$5,'Leave Log'!$D$5:$D$304,"&gt;="&amp;AE$5,'Leave Log'!$F$5:$F$304,"&lt;&gt;Rejected",'Leave Log'!$B$5:$B$304,"SL")&gt;0,"SL",IF(COUNTIFS('Leave Log'!$A$5:$A$304,$A20,'Leave Log'!$C$5:$C$304,"&lt;="&amp;AE$5,'Leave Log'!$D$5:$D$304,"&gt;="&amp;AE$5,'Leave Log'!$F$5:$F$304,"&lt;&gt;Rejected",'Leave Log'!$B$5:$B$304,"CL")&gt;0,"CL",IF(COUNTIFS('Leave Log'!$A$5:$A$304,$A20,'Leave Log'!$C$5:$C$304,"&lt;="&amp;AE$5,'Leave Log'!$D$5:$D$304,"&gt;="&amp;AE$5,'Leave Log'!$F$5:$F$304,"&lt;&gt;Rejected",'Leave Log'!$B$5:$B$304,"UL")&gt;0,"UL",IF(COUNTIFS('Leave Log'!$A$5:$A$304,$A20,'Leave Log'!$C$5:$C$304,"&lt;="&amp;AE$5,'Leave Log'!$D$5:$D$304,"&gt;="&amp;AE$5,'Leave Log'!$F$5:$F$304,"&lt;&gt;Rejected",'Leave Log'!$B$5:$B$304,"OT")&gt;0,"OT",""))))))</f>
        <v/>
      </c>
      <c r="AF20" s="12" t="str">
        <f aca="false">IF(OR(AF$5="",$A20=""),"",IF(COUNTIFS('Leave Log'!$A$5:$A$304,$A20,'Leave Log'!$C$5:$C$304,"&lt;="&amp;AF$5,'Leave Log'!$D$5:$D$304,"&gt;="&amp;AF$5,'Leave Log'!$F$5:$F$304,"&lt;&gt;Rejected",'Leave Log'!$B$5:$B$304,"AL")&gt;0,"AL",IF(COUNTIFS('Leave Log'!$A$5:$A$304,$A20,'Leave Log'!$C$5:$C$304,"&lt;="&amp;AF$5,'Leave Log'!$D$5:$D$304,"&gt;="&amp;AF$5,'Leave Log'!$F$5:$F$304,"&lt;&gt;Rejected",'Leave Log'!$B$5:$B$304,"SL")&gt;0,"SL",IF(COUNTIFS('Leave Log'!$A$5:$A$304,$A20,'Leave Log'!$C$5:$C$304,"&lt;="&amp;AF$5,'Leave Log'!$D$5:$D$304,"&gt;="&amp;AF$5,'Leave Log'!$F$5:$F$304,"&lt;&gt;Rejected",'Leave Log'!$B$5:$B$304,"CL")&gt;0,"CL",IF(COUNTIFS('Leave Log'!$A$5:$A$304,$A20,'Leave Log'!$C$5:$C$304,"&lt;="&amp;AF$5,'Leave Log'!$D$5:$D$304,"&gt;="&amp;AF$5,'Leave Log'!$F$5:$F$304,"&lt;&gt;Rejected",'Leave Log'!$B$5:$B$304,"UL")&gt;0,"UL",IF(COUNTIFS('Leave Log'!$A$5:$A$304,$A20,'Leave Log'!$C$5:$C$304,"&lt;="&amp;AF$5,'Leave Log'!$D$5:$D$304,"&gt;="&amp;AF$5,'Leave Log'!$F$5:$F$304,"&lt;&gt;Rejected",'Leave Log'!$B$5:$B$304,"OT")&gt;0,"OT",""))))))</f>
        <v/>
      </c>
      <c r="AG20" s="12" t="str">
        <f aca="false">IF(OR(AG$5="",$A20=""),"",IF(COUNTIFS('Leave Log'!$A$5:$A$304,$A20,'Leave Log'!$C$5:$C$304,"&lt;="&amp;AG$5,'Leave Log'!$D$5:$D$304,"&gt;="&amp;AG$5,'Leave Log'!$F$5:$F$304,"&lt;&gt;Rejected",'Leave Log'!$B$5:$B$304,"AL")&gt;0,"AL",IF(COUNTIFS('Leave Log'!$A$5:$A$304,$A20,'Leave Log'!$C$5:$C$304,"&lt;="&amp;AG$5,'Leave Log'!$D$5:$D$304,"&gt;="&amp;AG$5,'Leave Log'!$F$5:$F$304,"&lt;&gt;Rejected",'Leave Log'!$B$5:$B$304,"SL")&gt;0,"SL",IF(COUNTIFS('Leave Log'!$A$5:$A$304,$A20,'Leave Log'!$C$5:$C$304,"&lt;="&amp;AG$5,'Leave Log'!$D$5:$D$304,"&gt;="&amp;AG$5,'Leave Log'!$F$5:$F$304,"&lt;&gt;Rejected",'Leave Log'!$B$5:$B$304,"CL")&gt;0,"CL",IF(COUNTIFS('Leave Log'!$A$5:$A$304,$A20,'Leave Log'!$C$5:$C$304,"&lt;="&amp;AG$5,'Leave Log'!$D$5:$D$304,"&gt;="&amp;AG$5,'Leave Log'!$F$5:$F$304,"&lt;&gt;Rejected",'Leave Log'!$B$5:$B$304,"UL")&gt;0,"UL",IF(COUNTIFS('Leave Log'!$A$5:$A$304,$A20,'Leave Log'!$C$5:$C$304,"&lt;="&amp;AG$5,'Leave Log'!$D$5:$D$304,"&gt;="&amp;AG$5,'Leave Log'!$F$5:$F$304,"&lt;&gt;Rejected",'Leave Log'!$B$5:$B$304,"OT")&gt;0,"OT",""))))))</f>
        <v/>
      </c>
    </row>
    <row r="21" customFormat="false" ht="15" hidden="false" customHeight="false" outlineLevel="0" collapsed="false">
      <c r="A21" s="3" t="str">
        <f aca="false">IF(Employees!B20="","",Employees!B20)</f>
        <v/>
      </c>
      <c r="B21" s="11" t="str">
        <f aca="false">IF(Employees!B20="","",Employees!C20)</f>
        <v/>
      </c>
      <c r="C21" s="12" t="str">
        <f aca="false">IF(OR(C$5="",$A21=""),"",IF(COUNTIFS('Leave Log'!$A$5:$A$304,$A21,'Leave Log'!$C$5:$C$304,"&lt;="&amp;C$5,'Leave Log'!$D$5:$D$304,"&gt;="&amp;C$5,'Leave Log'!$F$5:$F$304,"&lt;&gt;Rejected",'Leave Log'!$B$5:$B$304,"AL")&gt;0,"AL",IF(COUNTIFS('Leave Log'!$A$5:$A$304,$A21,'Leave Log'!$C$5:$C$304,"&lt;="&amp;C$5,'Leave Log'!$D$5:$D$304,"&gt;="&amp;C$5,'Leave Log'!$F$5:$F$304,"&lt;&gt;Rejected",'Leave Log'!$B$5:$B$304,"SL")&gt;0,"SL",IF(COUNTIFS('Leave Log'!$A$5:$A$304,$A21,'Leave Log'!$C$5:$C$304,"&lt;="&amp;C$5,'Leave Log'!$D$5:$D$304,"&gt;="&amp;C$5,'Leave Log'!$F$5:$F$304,"&lt;&gt;Rejected",'Leave Log'!$B$5:$B$304,"CL")&gt;0,"CL",IF(COUNTIFS('Leave Log'!$A$5:$A$304,$A21,'Leave Log'!$C$5:$C$304,"&lt;="&amp;C$5,'Leave Log'!$D$5:$D$304,"&gt;="&amp;C$5,'Leave Log'!$F$5:$F$304,"&lt;&gt;Rejected",'Leave Log'!$B$5:$B$304,"UL")&gt;0,"UL",IF(COUNTIFS('Leave Log'!$A$5:$A$304,$A21,'Leave Log'!$C$5:$C$304,"&lt;="&amp;C$5,'Leave Log'!$D$5:$D$304,"&gt;="&amp;C$5,'Leave Log'!$F$5:$F$304,"&lt;&gt;Rejected",'Leave Log'!$B$5:$B$304,"OT")&gt;0,"OT",""))))))</f>
        <v/>
      </c>
      <c r="D21" s="12" t="str">
        <f aca="false">IF(OR(D$5="",$A21=""),"",IF(COUNTIFS('Leave Log'!$A$5:$A$304,$A21,'Leave Log'!$C$5:$C$304,"&lt;="&amp;D$5,'Leave Log'!$D$5:$D$304,"&gt;="&amp;D$5,'Leave Log'!$F$5:$F$304,"&lt;&gt;Rejected",'Leave Log'!$B$5:$B$304,"AL")&gt;0,"AL",IF(COUNTIFS('Leave Log'!$A$5:$A$304,$A21,'Leave Log'!$C$5:$C$304,"&lt;="&amp;D$5,'Leave Log'!$D$5:$D$304,"&gt;="&amp;D$5,'Leave Log'!$F$5:$F$304,"&lt;&gt;Rejected",'Leave Log'!$B$5:$B$304,"SL")&gt;0,"SL",IF(COUNTIFS('Leave Log'!$A$5:$A$304,$A21,'Leave Log'!$C$5:$C$304,"&lt;="&amp;D$5,'Leave Log'!$D$5:$D$304,"&gt;="&amp;D$5,'Leave Log'!$F$5:$F$304,"&lt;&gt;Rejected",'Leave Log'!$B$5:$B$304,"CL")&gt;0,"CL",IF(COUNTIFS('Leave Log'!$A$5:$A$304,$A21,'Leave Log'!$C$5:$C$304,"&lt;="&amp;D$5,'Leave Log'!$D$5:$D$304,"&gt;="&amp;D$5,'Leave Log'!$F$5:$F$304,"&lt;&gt;Rejected",'Leave Log'!$B$5:$B$304,"UL")&gt;0,"UL",IF(COUNTIFS('Leave Log'!$A$5:$A$304,$A21,'Leave Log'!$C$5:$C$304,"&lt;="&amp;D$5,'Leave Log'!$D$5:$D$304,"&gt;="&amp;D$5,'Leave Log'!$F$5:$F$304,"&lt;&gt;Rejected",'Leave Log'!$B$5:$B$304,"OT")&gt;0,"OT",""))))))</f>
        <v/>
      </c>
      <c r="E21" s="12" t="str">
        <f aca="false">IF(OR(E$5="",$A21=""),"",IF(COUNTIFS('Leave Log'!$A$5:$A$304,$A21,'Leave Log'!$C$5:$C$304,"&lt;="&amp;E$5,'Leave Log'!$D$5:$D$304,"&gt;="&amp;E$5,'Leave Log'!$F$5:$F$304,"&lt;&gt;Rejected",'Leave Log'!$B$5:$B$304,"AL")&gt;0,"AL",IF(COUNTIFS('Leave Log'!$A$5:$A$304,$A21,'Leave Log'!$C$5:$C$304,"&lt;="&amp;E$5,'Leave Log'!$D$5:$D$304,"&gt;="&amp;E$5,'Leave Log'!$F$5:$F$304,"&lt;&gt;Rejected",'Leave Log'!$B$5:$B$304,"SL")&gt;0,"SL",IF(COUNTIFS('Leave Log'!$A$5:$A$304,$A21,'Leave Log'!$C$5:$C$304,"&lt;="&amp;E$5,'Leave Log'!$D$5:$D$304,"&gt;="&amp;E$5,'Leave Log'!$F$5:$F$304,"&lt;&gt;Rejected",'Leave Log'!$B$5:$B$304,"CL")&gt;0,"CL",IF(COUNTIFS('Leave Log'!$A$5:$A$304,$A21,'Leave Log'!$C$5:$C$304,"&lt;="&amp;E$5,'Leave Log'!$D$5:$D$304,"&gt;="&amp;E$5,'Leave Log'!$F$5:$F$304,"&lt;&gt;Rejected",'Leave Log'!$B$5:$B$304,"UL")&gt;0,"UL",IF(COUNTIFS('Leave Log'!$A$5:$A$304,$A21,'Leave Log'!$C$5:$C$304,"&lt;="&amp;E$5,'Leave Log'!$D$5:$D$304,"&gt;="&amp;E$5,'Leave Log'!$F$5:$F$304,"&lt;&gt;Rejected",'Leave Log'!$B$5:$B$304,"OT")&gt;0,"OT",""))))))</f>
        <v/>
      </c>
      <c r="F21" s="12" t="str">
        <f aca="false">IF(OR(F$5="",$A21=""),"",IF(COUNTIFS('Leave Log'!$A$5:$A$304,$A21,'Leave Log'!$C$5:$C$304,"&lt;="&amp;F$5,'Leave Log'!$D$5:$D$304,"&gt;="&amp;F$5,'Leave Log'!$F$5:$F$304,"&lt;&gt;Rejected",'Leave Log'!$B$5:$B$304,"AL")&gt;0,"AL",IF(COUNTIFS('Leave Log'!$A$5:$A$304,$A21,'Leave Log'!$C$5:$C$304,"&lt;="&amp;F$5,'Leave Log'!$D$5:$D$304,"&gt;="&amp;F$5,'Leave Log'!$F$5:$F$304,"&lt;&gt;Rejected",'Leave Log'!$B$5:$B$304,"SL")&gt;0,"SL",IF(COUNTIFS('Leave Log'!$A$5:$A$304,$A21,'Leave Log'!$C$5:$C$304,"&lt;="&amp;F$5,'Leave Log'!$D$5:$D$304,"&gt;="&amp;F$5,'Leave Log'!$F$5:$F$304,"&lt;&gt;Rejected",'Leave Log'!$B$5:$B$304,"CL")&gt;0,"CL",IF(COUNTIFS('Leave Log'!$A$5:$A$304,$A21,'Leave Log'!$C$5:$C$304,"&lt;="&amp;F$5,'Leave Log'!$D$5:$D$304,"&gt;="&amp;F$5,'Leave Log'!$F$5:$F$304,"&lt;&gt;Rejected",'Leave Log'!$B$5:$B$304,"UL")&gt;0,"UL",IF(COUNTIFS('Leave Log'!$A$5:$A$304,$A21,'Leave Log'!$C$5:$C$304,"&lt;="&amp;F$5,'Leave Log'!$D$5:$D$304,"&gt;="&amp;F$5,'Leave Log'!$F$5:$F$304,"&lt;&gt;Rejected",'Leave Log'!$B$5:$B$304,"OT")&gt;0,"OT",""))))))</f>
        <v/>
      </c>
      <c r="G21" s="12" t="str">
        <f aca="false">IF(OR(G$5="",$A21=""),"",IF(COUNTIFS('Leave Log'!$A$5:$A$304,$A21,'Leave Log'!$C$5:$C$304,"&lt;="&amp;G$5,'Leave Log'!$D$5:$D$304,"&gt;="&amp;G$5,'Leave Log'!$F$5:$F$304,"&lt;&gt;Rejected",'Leave Log'!$B$5:$B$304,"AL")&gt;0,"AL",IF(COUNTIFS('Leave Log'!$A$5:$A$304,$A21,'Leave Log'!$C$5:$C$304,"&lt;="&amp;G$5,'Leave Log'!$D$5:$D$304,"&gt;="&amp;G$5,'Leave Log'!$F$5:$F$304,"&lt;&gt;Rejected",'Leave Log'!$B$5:$B$304,"SL")&gt;0,"SL",IF(COUNTIFS('Leave Log'!$A$5:$A$304,$A21,'Leave Log'!$C$5:$C$304,"&lt;="&amp;G$5,'Leave Log'!$D$5:$D$304,"&gt;="&amp;G$5,'Leave Log'!$F$5:$F$304,"&lt;&gt;Rejected",'Leave Log'!$B$5:$B$304,"CL")&gt;0,"CL",IF(COUNTIFS('Leave Log'!$A$5:$A$304,$A21,'Leave Log'!$C$5:$C$304,"&lt;="&amp;G$5,'Leave Log'!$D$5:$D$304,"&gt;="&amp;G$5,'Leave Log'!$F$5:$F$304,"&lt;&gt;Rejected",'Leave Log'!$B$5:$B$304,"UL")&gt;0,"UL",IF(COUNTIFS('Leave Log'!$A$5:$A$304,$A21,'Leave Log'!$C$5:$C$304,"&lt;="&amp;G$5,'Leave Log'!$D$5:$D$304,"&gt;="&amp;G$5,'Leave Log'!$F$5:$F$304,"&lt;&gt;Rejected",'Leave Log'!$B$5:$B$304,"OT")&gt;0,"OT",""))))))</f>
        <v/>
      </c>
      <c r="H21" s="12" t="str">
        <f aca="false">IF(OR(H$5="",$A21=""),"",IF(COUNTIFS('Leave Log'!$A$5:$A$304,$A21,'Leave Log'!$C$5:$C$304,"&lt;="&amp;H$5,'Leave Log'!$D$5:$D$304,"&gt;="&amp;H$5,'Leave Log'!$F$5:$F$304,"&lt;&gt;Rejected",'Leave Log'!$B$5:$B$304,"AL")&gt;0,"AL",IF(COUNTIFS('Leave Log'!$A$5:$A$304,$A21,'Leave Log'!$C$5:$C$304,"&lt;="&amp;H$5,'Leave Log'!$D$5:$D$304,"&gt;="&amp;H$5,'Leave Log'!$F$5:$F$304,"&lt;&gt;Rejected",'Leave Log'!$B$5:$B$304,"SL")&gt;0,"SL",IF(COUNTIFS('Leave Log'!$A$5:$A$304,$A21,'Leave Log'!$C$5:$C$304,"&lt;="&amp;H$5,'Leave Log'!$D$5:$D$304,"&gt;="&amp;H$5,'Leave Log'!$F$5:$F$304,"&lt;&gt;Rejected",'Leave Log'!$B$5:$B$304,"CL")&gt;0,"CL",IF(COUNTIFS('Leave Log'!$A$5:$A$304,$A21,'Leave Log'!$C$5:$C$304,"&lt;="&amp;H$5,'Leave Log'!$D$5:$D$304,"&gt;="&amp;H$5,'Leave Log'!$F$5:$F$304,"&lt;&gt;Rejected",'Leave Log'!$B$5:$B$304,"UL")&gt;0,"UL",IF(COUNTIFS('Leave Log'!$A$5:$A$304,$A21,'Leave Log'!$C$5:$C$304,"&lt;="&amp;H$5,'Leave Log'!$D$5:$D$304,"&gt;="&amp;H$5,'Leave Log'!$F$5:$F$304,"&lt;&gt;Rejected",'Leave Log'!$B$5:$B$304,"OT")&gt;0,"OT",""))))))</f>
        <v/>
      </c>
      <c r="I21" s="12" t="str">
        <f aca="false">IF(OR(I$5="",$A21=""),"",IF(COUNTIFS('Leave Log'!$A$5:$A$304,$A21,'Leave Log'!$C$5:$C$304,"&lt;="&amp;I$5,'Leave Log'!$D$5:$D$304,"&gt;="&amp;I$5,'Leave Log'!$F$5:$F$304,"&lt;&gt;Rejected",'Leave Log'!$B$5:$B$304,"AL")&gt;0,"AL",IF(COUNTIFS('Leave Log'!$A$5:$A$304,$A21,'Leave Log'!$C$5:$C$304,"&lt;="&amp;I$5,'Leave Log'!$D$5:$D$304,"&gt;="&amp;I$5,'Leave Log'!$F$5:$F$304,"&lt;&gt;Rejected",'Leave Log'!$B$5:$B$304,"SL")&gt;0,"SL",IF(COUNTIFS('Leave Log'!$A$5:$A$304,$A21,'Leave Log'!$C$5:$C$304,"&lt;="&amp;I$5,'Leave Log'!$D$5:$D$304,"&gt;="&amp;I$5,'Leave Log'!$F$5:$F$304,"&lt;&gt;Rejected",'Leave Log'!$B$5:$B$304,"CL")&gt;0,"CL",IF(COUNTIFS('Leave Log'!$A$5:$A$304,$A21,'Leave Log'!$C$5:$C$304,"&lt;="&amp;I$5,'Leave Log'!$D$5:$D$304,"&gt;="&amp;I$5,'Leave Log'!$F$5:$F$304,"&lt;&gt;Rejected",'Leave Log'!$B$5:$B$304,"UL")&gt;0,"UL",IF(COUNTIFS('Leave Log'!$A$5:$A$304,$A21,'Leave Log'!$C$5:$C$304,"&lt;="&amp;I$5,'Leave Log'!$D$5:$D$304,"&gt;="&amp;I$5,'Leave Log'!$F$5:$F$304,"&lt;&gt;Rejected",'Leave Log'!$B$5:$B$304,"OT")&gt;0,"OT",""))))))</f>
        <v/>
      </c>
      <c r="J21" s="12" t="str">
        <f aca="false">IF(OR(J$5="",$A21=""),"",IF(COUNTIFS('Leave Log'!$A$5:$A$304,$A21,'Leave Log'!$C$5:$C$304,"&lt;="&amp;J$5,'Leave Log'!$D$5:$D$304,"&gt;="&amp;J$5,'Leave Log'!$F$5:$F$304,"&lt;&gt;Rejected",'Leave Log'!$B$5:$B$304,"AL")&gt;0,"AL",IF(COUNTIFS('Leave Log'!$A$5:$A$304,$A21,'Leave Log'!$C$5:$C$304,"&lt;="&amp;J$5,'Leave Log'!$D$5:$D$304,"&gt;="&amp;J$5,'Leave Log'!$F$5:$F$304,"&lt;&gt;Rejected",'Leave Log'!$B$5:$B$304,"SL")&gt;0,"SL",IF(COUNTIFS('Leave Log'!$A$5:$A$304,$A21,'Leave Log'!$C$5:$C$304,"&lt;="&amp;J$5,'Leave Log'!$D$5:$D$304,"&gt;="&amp;J$5,'Leave Log'!$F$5:$F$304,"&lt;&gt;Rejected",'Leave Log'!$B$5:$B$304,"CL")&gt;0,"CL",IF(COUNTIFS('Leave Log'!$A$5:$A$304,$A21,'Leave Log'!$C$5:$C$304,"&lt;="&amp;J$5,'Leave Log'!$D$5:$D$304,"&gt;="&amp;J$5,'Leave Log'!$F$5:$F$304,"&lt;&gt;Rejected",'Leave Log'!$B$5:$B$304,"UL")&gt;0,"UL",IF(COUNTIFS('Leave Log'!$A$5:$A$304,$A21,'Leave Log'!$C$5:$C$304,"&lt;="&amp;J$5,'Leave Log'!$D$5:$D$304,"&gt;="&amp;J$5,'Leave Log'!$F$5:$F$304,"&lt;&gt;Rejected",'Leave Log'!$B$5:$B$304,"OT")&gt;0,"OT",""))))))</f>
        <v/>
      </c>
      <c r="K21" s="12" t="str">
        <f aca="false">IF(OR(K$5="",$A21=""),"",IF(COUNTIFS('Leave Log'!$A$5:$A$304,$A21,'Leave Log'!$C$5:$C$304,"&lt;="&amp;K$5,'Leave Log'!$D$5:$D$304,"&gt;="&amp;K$5,'Leave Log'!$F$5:$F$304,"&lt;&gt;Rejected",'Leave Log'!$B$5:$B$304,"AL")&gt;0,"AL",IF(COUNTIFS('Leave Log'!$A$5:$A$304,$A21,'Leave Log'!$C$5:$C$304,"&lt;="&amp;K$5,'Leave Log'!$D$5:$D$304,"&gt;="&amp;K$5,'Leave Log'!$F$5:$F$304,"&lt;&gt;Rejected",'Leave Log'!$B$5:$B$304,"SL")&gt;0,"SL",IF(COUNTIFS('Leave Log'!$A$5:$A$304,$A21,'Leave Log'!$C$5:$C$304,"&lt;="&amp;K$5,'Leave Log'!$D$5:$D$304,"&gt;="&amp;K$5,'Leave Log'!$F$5:$F$304,"&lt;&gt;Rejected",'Leave Log'!$B$5:$B$304,"CL")&gt;0,"CL",IF(COUNTIFS('Leave Log'!$A$5:$A$304,$A21,'Leave Log'!$C$5:$C$304,"&lt;="&amp;K$5,'Leave Log'!$D$5:$D$304,"&gt;="&amp;K$5,'Leave Log'!$F$5:$F$304,"&lt;&gt;Rejected",'Leave Log'!$B$5:$B$304,"UL")&gt;0,"UL",IF(COUNTIFS('Leave Log'!$A$5:$A$304,$A21,'Leave Log'!$C$5:$C$304,"&lt;="&amp;K$5,'Leave Log'!$D$5:$D$304,"&gt;="&amp;K$5,'Leave Log'!$F$5:$F$304,"&lt;&gt;Rejected",'Leave Log'!$B$5:$B$304,"OT")&gt;0,"OT",""))))))</f>
        <v/>
      </c>
      <c r="L21" s="12" t="str">
        <f aca="false">IF(OR(L$5="",$A21=""),"",IF(COUNTIFS('Leave Log'!$A$5:$A$304,$A21,'Leave Log'!$C$5:$C$304,"&lt;="&amp;L$5,'Leave Log'!$D$5:$D$304,"&gt;="&amp;L$5,'Leave Log'!$F$5:$F$304,"&lt;&gt;Rejected",'Leave Log'!$B$5:$B$304,"AL")&gt;0,"AL",IF(COUNTIFS('Leave Log'!$A$5:$A$304,$A21,'Leave Log'!$C$5:$C$304,"&lt;="&amp;L$5,'Leave Log'!$D$5:$D$304,"&gt;="&amp;L$5,'Leave Log'!$F$5:$F$304,"&lt;&gt;Rejected",'Leave Log'!$B$5:$B$304,"SL")&gt;0,"SL",IF(COUNTIFS('Leave Log'!$A$5:$A$304,$A21,'Leave Log'!$C$5:$C$304,"&lt;="&amp;L$5,'Leave Log'!$D$5:$D$304,"&gt;="&amp;L$5,'Leave Log'!$F$5:$F$304,"&lt;&gt;Rejected",'Leave Log'!$B$5:$B$304,"CL")&gt;0,"CL",IF(COUNTIFS('Leave Log'!$A$5:$A$304,$A21,'Leave Log'!$C$5:$C$304,"&lt;="&amp;L$5,'Leave Log'!$D$5:$D$304,"&gt;="&amp;L$5,'Leave Log'!$F$5:$F$304,"&lt;&gt;Rejected",'Leave Log'!$B$5:$B$304,"UL")&gt;0,"UL",IF(COUNTIFS('Leave Log'!$A$5:$A$304,$A21,'Leave Log'!$C$5:$C$304,"&lt;="&amp;L$5,'Leave Log'!$D$5:$D$304,"&gt;="&amp;L$5,'Leave Log'!$F$5:$F$304,"&lt;&gt;Rejected",'Leave Log'!$B$5:$B$304,"OT")&gt;0,"OT",""))))))</f>
        <v/>
      </c>
      <c r="M21" s="12" t="str">
        <f aca="false">IF(OR(M$5="",$A21=""),"",IF(COUNTIFS('Leave Log'!$A$5:$A$304,$A21,'Leave Log'!$C$5:$C$304,"&lt;="&amp;M$5,'Leave Log'!$D$5:$D$304,"&gt;="&amp;M$5,'Leave Log'!$F$5:$F$304,"&lt;&gt;Rejected",'Leave Log'!$B$5:$B$304,"AL")&gt;0,"AL",IF(COUNTIFS('Leave Log'!$A$5:$A$304,$A21,'Leave Log'!$C$5:$C$304,"&lt;="&amp;M$5,'Leave Log'!$D$5:$D$304,"&gt;="&amp;M$5,'Leave Log'!$F$5:$F$304,"&lt;&gt;Rejected",'Leave Log'!$B$5:$B$304,"SL")&gt;0,"SL",IF(COUNTIFS('Leave Log'!$A$5:$A$304,$A21,'Leave Log'!$C$5:$C$304,"&lt;="&amp;M$5,'Leave Log'!$D$5:$D$304,"&gt;="&amp;M$5,'Leave Log'!$F$5:$F$304,"&lt;&gt;Rejected",'Leave Log'!$B$5:$B$304,"CL")&gt;0,"CL",IF(COUNTIFS('Leave Log'!$A$5:$A$304,$A21,'Leave Log'!$C$5:$C$304,"&lt;="&amp;M$5,'Leave Log'!$D$5:$D$304,"&gt;="&amp;M$5,'Leave Log'!$F$5:$F$304,"&lt;&gt;Rejected",'Leave Log'!$B$5:$B$304,"UL")&gt;0,"UL",IF(COUNTIFS('Leave Log'!$A$5:$A$304,$A21,'Leave Log'!$C$5:$C$304,"&lt;="&amp;M$5,'Leave Log'!$D$5:$D$304,"&gt;="&amp;M$5,'Leave Log'!$F$5:$F$304,"&lt;&gt;Rejected",'Leave Log'!$B$5:$B$304,"OT")&gt;0,"OT",""))))))</f>
        <v/>
      </c>
      <c r="N21" s="12" t="str">
        <f aca="false">IF(OR(N$5="",$A21=""),"",IF(COUNTIFS('Leave Log'!$A$5:$A$304,$A21,'Leave Log'!$C$5:$C$304,"&lt;="&amp;N$5,'Leave Log'!$D$5:$D$304,"&gt;="&amp;N$5,'Leave Log'!$F$5:$F$304,"&lt;&gt;Rejected",'Leave Log'!$B$5:$B$304,"AL")&gt;0,"AL",IF(COUNTIFS('Leave Log'!$A$5:$A$304,$A21,'Leave Log'!$C$5:$C$304,"&lt;="&amp;N$5,'Leave Log'!$D$5:$D$304,"&gt;="&amp;N$5,'Leave Log'!$F$5:$F$304,"&lt;&gt;Rejected",'Leave Log'!$B$5:$B$304,"SL")&gt;0,"SL",IF(COUNTIFS('Leave Log'!$A$5:$A$304,$A21,'Leave Log'!$C$5:$C$304,"&lt;="&amp;N$5,'Leave Log'!$D$5:$D$304,"&gt;="&amp;N$5,'Leave Log'!$F$5:$F$304,"&lt;&gt;Rejected",'Leave Log'!$B$5:$B$304,"CL")&gt;0,"CL",IF(COUNTIFS('Leave Log'!$A$5:$A$304,$A21,'Leave Log'!$C$5:$C$304,"&lt;="&amp;N$5,'Leave Log'!$D$5:$D$304,"&gt;="&amp;N$5,'Leave Log'!$F$5:$F$304,"&lt;&gt;Rejected",'Leave Log'!$B$5:$B$304,"UL")&gt;0,"UL",IF(COUNTIFS('Leave Log'!$A$5:$A$304,$A21,'Leave Log'!$C$5:$C$304,"&lt;="&amp;N$5,'Leave Log'!$D$5:$D$304,"&gt;="&amp;N$5,'Leave Log'!$F$5:$F$304,"&lt;&gt;Rejected",'Leave Log'!$B$5:$B$304,"OT")&gt;0,"OT",""))))))</f>
        <v/>
      </c>
      <c r="O21" s="12" t="str">
        <f aca="false">IF(OR(O$5="",$A21=""),"",IF(COUNTIFS('Leave Log'!$A$5:$A$304,$A21,'Leave Log'!$C$5:$C$304,"&lt;="&amp;O$5,'Leave Log'!$D$5:$D$304,"&gt;="&amp;O$5,'Leave Log'!$F$5:$F$304,"&lt;&gt;Rejected",'Leave Log'!$B$5:$B$304,"AL")&gt;0,"AL",IF(COUNTIFS('Leave Log'!$A$5:$A$304,$A21,'Leave Log'!$C$5:$C$304,"&lt;="&amp;O$5,'Leave Log'!$D$5:$D$304,"&gt;="&amp;O$5,'Leave Log'!$F$5:$F$304,"&lt;&gt;Rejected",'Leave Log'!$B$5:$B$304,"SL")&gt;0,"SL",IF(COUNTIFS('Leave Log'!$A$5:$A$304,$A21,'Leave Log'!$C$5:$C$304,"&lt;="&amp;O$5,'Leave Log'!$D$5:$D$304,"&gt;="&amp;O$5,'Leave Log'!$F$5:$F$304,"&lt;&gt;Rejected",'Leave Log'!$B$5:$B$304,"CL")&gt;0,"CL",IF(COUNTIFS('Leave Log'!$A$5:$A$304,$A21,'Leave Log'!$C$5:$C$304,"&lt;="&amp;O$5,'Leave Log'!$D$5:$D$304,"&gt;="&amp;O$5,'Leave Log'!$F$5:$F$304,"&lt;&gt;Rejected",'Leave Log'!$B$5:$B$304,"UL")&gt;0,"UL",IF(COUNTIFS('Leave Log'!$A$5:$A$304,$A21,'Leave Log'!$C$5:$C$304,"&lt;="&amp;O$5,'Leave Log'!$D$5:$D$304,"&gt;="&amp;O$5,'Leave Log'!$F$5:$F$304,"&lt;&gt;Rejected",'Leave Log'!$B$5:$B$304,"OT")&gt;0,"OT",""))))))</f>
        <v/>
      </c>
      <c r="P21" s="12" t="str">
        <f aca="false">IF(OR(P$5="",$A21=""),"",IF(COUNTIFS('Leave Log'!$A$5:$A$304,$A21,'Leave Log'!$C$5:$C$304,"&lt;="&amp;P$5,'Leave Log'!$D$5:$D$304,"&gt;="&amp;P$5,'Leave Log'!$F$5:$F$304,"&lt;&gt;Rejected",'Leave Log'!$B$5:$B$304,"AL")&gt;0,"AL",IF(COUNTIFS('Leave Log'!$A$5:$A$304,$A21,'Leave Log'!$C$5:$C$304,"&lt;="&amp;P$5,'Leave Log'!$D$5:$D$304,"&gt;="&amp;P$5,'Leave Log'!$F$5:$F$304,"&lt;&gt;Rejected",'Leave Log'!$B$5:$B$304,"SL")&gt;0,"SL",IF(COUNTIFS('Leave Log'!$A$5:$A$304,$A21,'Leave Log'!$C$5:$C$304,"&lt;="&amp;P$5,'Leave Log'!$D$5:$D$304,"&gt;="&amp;P$5,'Leave Log'!$F$5:$F$304,"&lt;&gt;Rejected",'Leave Log'!$B$5:$B$304,"CL")&gt;0,"CL",IF(COUNTIFS('Leave Log'!$A$5:$A$304,$A21,'Leave Log'!$C$5:$C$304,"&lt;="&amp;P$5,'Leave Log'!$D$5:$D$304,"&gt;="&amp;P$5,'Leave Log'!$F$5:$F$304,"&lt;&gt;Rejected",'Leave Log'!$B$5:$B$304,"UL")&gt;0,"UL",IF(COUNTIFS('Leave Log'!$A$5:$A$304,$A21,'Leave Log'!$C$5:$C$304,"&lt;="&amp;P$5,'Leave Log'!$D$5:$D$304,"&gt;="&amp;P$5,'Leave Log'!$F$5:$F$304,"&lt;&gt;Rejected",'Leave Log'!$B$5:$B$304,"OT")&gt;0,"OT",""))))))</f>
        <v/>
      </c>
      <c r="Q21" s="12" t="str">
        <f aca="false">IF(OR(Q$5="",$A21=""),"",IF(COUNTIFS('Leave Log'!$A$5:$A$304,$A21,'Leave Log'!$C$5:$C$304,"&lt;="&amp;Q$5,'Leave Log'!$D$5:$D$304,"&gt;="&amp;Q$5,'Leave Log'!$F$5:$F$304,"&lt;&gt;Rejected",'Leave Log'!$B$5:$B$304,"AL")&gt;0,"AL",IF(COUNTIFS('Leave Log'!$A$5:$A$304,$A21,'Leave Log'!$C$5:$C$304,"&lt;="&amp;Q$5,'Leave Log'!$D$5:$D$304,"&gt;="&amp;Q$5,'Leave Log'!$F$5:$F$304,"&lt;&gt;Rejected",'Leave Log'!$B$5:$B$304,"SL")&gt;0,"SL",IF(COUNTIFS('Leave Log'!$A$5:$A$304,$A21,'Leave Log'!$C$5:$C$304,"&lt;="&amp;Q$5,'Leave Log'!$D$5:$D$304,"&gt;="&amp;Q$5,'Leave Log'!$F$5:$F$304,"&lt;&gt;Rejected",'Leave Log'!$B$5:$B$304,"CL")&gt;0,"CL",IF(COUNTIFS('Leave Log'!$A$5:$A$304,$A21,'Leave Log'!$C$5:$C$304,"&lt;="&amp;Q$5,'Leave Log'!$D$5:$D$304,"&gt;="&amp;Q$5,'Leave Log'!$F$5:$F$304,"&lt;&gt;Rejected",'Leave Log'!$B$5:$B$304,"UL")&gt;0,"UL",IF(COUNTIFS('Leave Log'!$A$5:$A$304,$A21,'Leave Log'!$C$5:$C$304,"&lt;="&amp;Q$5,'Leave Log'!$D$5:$D$304,"&gt;="&amp;Q$5,'Leave Log'!$F$5:$F$304,"&lt;&gt;Rejected",'Leave Log'!$B$5:$B$304,"OT")&gt;0,"OT",""))))))</f>
        <v/>
      </c>
      <c r="R21" s="12" t="str">
        <f aca="false">IF(OR(R$5="",$A21=""),"",IF(COUNTIFS('Leave Log'!$A$5:$A$304,$A21,'Leave Log'!$C$5:$C$304,"&lt;="&amp;R$5,'Leave Log'!$D$5:$D$304,"&gt;="&amp;R$5,'Leave Log'!$F$5:$F$304,"&lt;&gt;Rejected",'Leave Log'!$B$5:$B$304,"AL")&gt;0,"AL",IF(COUNTIFS('Leave Log'!$A$5:$A$304,$A21,'Leave Log'!$C$5:$C$304,"&lt;="&amp;R$5,'Leave Log'!$D$5:$D$304,"&gt;="&amp;R$5,'Leave Log'!$F$5:$F$304,"&lt;&gt;Rejected",'Leave Log'!$B$5:$B$304,"SL")&gt;0,"SL",IF(COUNTIFS('Leave Log'!$A$5:$A$304,$A21,'Leave Log'!$C$5:$C$304,"&lt;="&amp;R$5,'Leave Log'!$D$5:$D$304,"&gt;="&amp;R$5,'Leave Log'!$F$5:$F$304,"&lt;&gt;Rejected",'Leave Log'!$B$5:$B$304,"CL")&gt;0,"CL",IF(COUNTIFS('Leave Log'!$A$5:$A$304,$A21,'Leave Log'!$C$5:$C$304,"&lt;="&amp;R$5,'Leave Log'!$D$5:$D$304,"&gt;="&amp;R$5,'Leave Log'!$F$5:$F$304,"&lt;&gt;Rejected",'Leave Log'!$B$5:$B$304,"UL")&gt;0,"UL",IF(COUNTIFS('Leave Log'!$A$5:$A$304,$A21,'Leave Log'!$C$5:$C$304,"&lt;="&amp;R$5,'Leave Log'!$D$5:$D$304,"&gt;="&amp;R$5,'Leave Log'!$F$5:$F$304,"&lt;&gt;Rejected",'Leave Log'!$B$5:$B$304,"OT")&gt;0,"OT",""))))))</f>
        <v/>
      </c>
      <c r="S21" s="12" t="str">
        <f aca="false">IF(OR(S$5="",$A21=""),"",IF(COUNTIFS('Leave Log'!$A$5:$A$304,$A21,'Leave Log'!$C$5:$C$304,"&lt;="&amp;S$5,'Leave Log'!$D$5:$D$304,"&gt;="&amp;S$5,'Leave Log'!$F$5:$F$304,"&lt;&gt;Rejected",'Leave Log'!$B$5:$B$304,"AL")&gt;0,"AL",IF(COUNTIFS('Leave Log'!$A$5:$A$304,$A21,'Leave Log'!$C$5:$C$304,"&lt;="&amp;S$5,'Leave Log'!$D$5:$D$304,"&gt;="&amp;S$5,'Leave Log'!$F$5:$F$304,"&lt;&gt;Rejected",'Leave Log'!$B$5:$B$304,"SL")&gt;0,"SL",IF(COUNTIFS('Leave Log'!$A$5:$A$304,$A21,'Leave Log'!$C$5:$C$304,"&lt;="&amp;S$5,'Leave Log'!$D$5:$D$304,"&gt;="&amp;S$5,'Leave Log'!$F$5:$F$304,"&lt;&gt;Rejected",'Leave Log'!$B$5:$B$304,"CL")&gt;0,"CL",IF(COUNTIFS('Leave Log'!$A$5:$A$304,$A21,'Leave Log'!$C$5:$C$304,"&lt;="&amp;S$5,'Leave Log'!$D$5:$D$304,"&gt;="&amp;S$5,'Leave Log'!$F$5:$F$304,"&lt;&gt;Rejected",'Leave Log'!$B$5:$B$304,"UL")&gt;0,"UL",IF(COUNTIFS('Leave Log'!$A$5:$A$304,$A21,'Leave Log'!$C$5:$C$304,"&lt;="&amp;S$5,'Leave Log'!$D$5:$D$304,"&gt;="&amp;S$5,'Leave Log'!$F$5:$F$304,"&lt;&gt;Rejected",'Leave Log'!$B$5:$B$304,"OT")&gt;0,"OT",""))))))</f>
        <v/>
      </c>
      <c r="T21" s="12" t="str">
        <f aca="false">IF(OR(T$5="",$A21=""),"",IF(COUNTIFS('Leave Log'!$A$5:$A$304,$A21,'Leave Log'!$C$5:$C$304,"&lt;="&amp;T$5,'Leave Log'!$D$5:$D$304,"&gt;="&amp;T$5,'Leave Log'!$F$5:$F$304,"&lt;&gt;Rejected",'Leave Log'!$B$5:$B$304,"AL")&gt;0,"AL",IF(COUNTIFS('Leave Log'!$A$5:$A$304,$A21,'Leave Log'!$C$5:$C$304,"&lt;="&amp;T$5,'Leave Log'!$D$5:$D$304,"&gt;="&amp;T$5,'Leave Log'!$F$5:$F$304,"&lt;&gt;Rejected",'Leave Log'!$B$5:$B$304,"SL")&gt;0,"SL",IF(COUNTIFS('Leave Log'!$A$5:$A$304,$A21,'Leave Log'!$C$5:$C$304,"&lt;="&amp;T$5,'Leave Log'!$D$5:$D$304,"&gt;="&amp;T$5,'Leave Log'!$F$5:$F$304,"&lt;&gt;Rejected",'Leave Log'!$B$5:$B$304,"CL")&gt;0,"CL",IF(COUNTIFS('Leave Log'!$A$5:$A$304,$A21,'Leave Log'!$C$5:$C$304,"&lt;="&amp;T$5,'Leave Log'!$D$5:$D$304,"&gt;="&amp;T$5,'Leave Log'!$F$5:$F$304,"&lt;&gt;Rejected",'Leave Log'!$B$5:$B$304,"UL")&gt;0,"UL",IF(COUNTIFS('Leave Log'!$A$5:$A$304,$A21,'Leave Log'!$C$5:$C$304,"&lt;="&amp;T$5,'Leave Log'!$D$5:$D$304,"&gt;="&amp;T$5,'Leave Log'!$F$5:$F$304,"&lt;&gt;Rejected",'Leave Log'!$B$5:$B$304,"OT")&gt;0,"OT",""))))))</f>
        <v/>
      </c>
      <c r="U21" s="12" t="str">
        <f aca="false">IF(OR(U$5="",$A21=""),"",IF(COUNTIFS('Leave Log'!$A$5:$A$304,$A21,'Leave Log'!$C$5:$C$304,"&lt;="&amp;U$5,'Leave Log'!$D$5:$D$304,"&gt;="&amp;U$5,'Leave Log'!$F$5:$F$304,"&lt;&gt;Rejected",'Leave Log'!$B$5:$B$304,"AL")&gt;0,"AL",IF(COUNTIFS('Leave Log'!$A$5:$A$304,$A21,'Leave Log'!$C$5:$C$304,"&lt;="&amp;U$5,'Leave Log'!$D$5:$D$304,"&gt;="&amp;U$5,'Leave Log'!$F$5:$F$304,"&lt;&gt;Rejected",'Leave Log'!$B$5:$B$304,"SL")&gt;0,"SL",IF(COUNTIFS('Leave Log'!$A$5:$A$304,$A21,'Leave Log'!$C$5:$C$304,"&lt;="&amp;U$5,'Leave Log'!$D$5:$D$304,"&gt;="&amp;U$5,'Leave Log'!$F$5:$F$304,"&lt;&gt;Rejected",'Leave Log'!$B$5:$B$304,"CL")&gt;0,"CL",IF(COUNTIFS('Leave Log'!$A$5:$A$304,$A21,'Leave Log'!$C$5:$C$304,"&lt;="&amp;U$5,'Leave Log'!$D$5:$D$304,"&gt;="&amp;U$5,'Leave Log'!$F$5:$F$304,"&lt;&gt;Rejected",'Leave Log'!$B$5:$B$304,"UL")&gt;0,"UL",IF(COUNTIFS('Leave Log'!$A$5:$A$304,$A21,'Leave Log'!$C$5:$C$304,"&lt;="&amp;U$5,'Leave Log'!$D$5:$D$304,"&gt;="&amp;U$5,'Leave Log'!$F$5:$F$304,"&lt;&gt;Rejected",'Leave Log'!$B$5:$B$304,"OT")&gt;0,"OT",""))))))</f>
        <v/>
      </c>
      <c r="V21" s="12" t="str">
        <f aca="false">IF(OR(V$5="",$A21=""),"",IF(COUNTIFS('Leave Log'!$A$5:$A$304,$A21,'Leave Log'!$C$5:$C$304,"&lt;="&amp;V$5,'Leave Log'!$D$5:$D$304,"&gt;="&amp;V$5,'Leave Log'!$F$5:$F$304,"&lt;&gt;Rejected",'Leave Log'!$B$5:$B$304,"AL")&gt;0,"AL",IF(COUNTIFS('Leave Log'!$A$5:$A$304,$A21,'Leave Log'!$C$5:$C$304,"&lt;="&amp;V$5,'Leave Log'!$D$5:$D$304,"&gt;="&amp;V$5,'Leave Log'!$F$5:$F$304,"&lt;&gt;Rejected",'Leave Log'!$B$5:$B$304,"SL")&gt;0,"SL",IF(COUNTIFS('Leave Log'!$A$5:$A$304,$A21,'Leave Log'!$C$5:$C$304,"&lt;="&amp;V$5,'Leave Log'!$D$5:$D$304,"&gt;="&amp;V$5,'Leave Log'!$F$5:$F$304,"&lt;&gt;Rejected",'Leave Log'!$B$5:$B$304,"CL")&gt;0,"CL",IF(COUNTIFS('Leave Log'!$A$5:$A$304,$A21,'Leave Log'!$C$5:$C$304,"&lt;="&amp;V$5,'Leave Log'!$D$5:$D$304,"&gt;="&amp;V$5,'Leave Log'!$F$5:$F$304,"&lt;&gt;Rejected",'Leave Log'!$B$5:$B$304,"UL")&gt;0,"UL",IF(COUNTIFS('Leave Log'!$A$5:$A$304,$A21,'Leave Log'!$C$5:$C$304,"&lt;="&amp;V$5,'Leave Log'!$D$5:$D$304,"&gt;="&amp;V$5,'Leave Log'!$F$5:$F$304,"&lt;&gt;Rejected",'Leave Log'!$B$5:$B$304,"OT")&gt;0,"OT",""))))))</f>
        <v/>
      </c>
      <c r="W21" s="12" t="str">
        <f aca="false">IF(OR(W$5="",$A21=""),"",IF(COUNTIFS('Leave Log'!$A$5:$A$304,$A21,'Leave Log'!$C$5:$C$304,"&lt;="&amp;W$5,'Leave Log'!$D$5:$D$304,"&gt;="&amp;W$5,'Leave Log'!$F$5:$F$304,"&lt;&gt;Rejected",'Leave Log'!$B$5:$B$304,"AL")&gt;0,"AL",IF(COUNTIFS('Leave Log'!$A$5:$A$304,$A21,'Leave Log'!$C$5:$C$304,"&lt;="&amp;W$5,'Leave Log'!$D$5:$D$304,"&gt;="&amp;W$5,'Leave Log'!$F$5:$F$304,"&lt;&gt;Rejected",'Leave Log'!$B$5:$B$304,"SL")&gt;0,"SL",IF(COUNTIFS('Leave Log'!$A$5:$A$304,$A21,'Leave Log'!$C$5:$C$304,"&lt;="&amp;W$5,'Leave Log'!$D$5:$D$304,"&gt;="&amp;W$5,'Leave Log'!$F$5:$F$304,"&lt;&gt;Rejected",'Leave Log'!$B$5:$B$304,"CL")&gt;0,"CL",IF(COUNTIFS('Leave Log'!$A$5:$A$304,$A21,'Leave Log'!$C$5:$C$304,"&lt;="&amp;W$5,'Leave Log'!$D$5:$D$304,"&gt;="&amp;W$5,'Leave Log'!$F$5:$F$304,"&lt;&gt;Rejected",'Leave Log'!$B$5:$B$304,"UL")&gt;0,"UL",IF(COUNTIFS('Leave Log'!$A$5:$A$304,$A21,'Leave Log'!$C$5:$C$304,"&lt;="&amp;W$5,'Leave Log'!$D$5:$D$304,"&gt;="&amp;W$5,'Leave Log'!$F$5:$F$304,"&lt;&gt;Rejected",'Leave Log'!$B$5:$B$304,"OT")&gt;0,"OT",""))))))</f>
        <v/>
      </c>
      <c r="X21" s="12" t="str">
        <f aca="false">IF(OR(X$5="",$A21=""),"",IF(COUNTIFS('Leave Log'!$A$5:$A$304,$A21,'Leave Log'!$C$5:$C$304,"&lt;="&amp;X$5,'Leave Log'!$D$5:$D$304,"&gt;="&amp;X$5,'Leave Log'!$F$5:$F$304,"&lt;&gt;Rejected",'Leave Log'!$B$5:$B$304,"AL")&gt;0,"AL",IF(COUNTIFS('Leave Log'!$A$5:$A$304,$A21,'Leave Log'!$C$5:$C$304,"&lt;="&amp;X$5,'Leave Log'!$D$5:$D$304,"&gt;="&amp;X$5,'Leave Log'!$F$5:$F$304,"&lt;&gt;Rejected",'Leave Log'!$B$5:$B$304,"SL")&gt;0,"SL",IF(COUNTIFS('Leave Log'!$A$5:$A$304,$A21,'Leave Log'!$C$5:$C$304,"&lt;="&amp;X$5,'Leave Log'!$D$5:$D$304,"&gt;="&amp;X$5,'Leave Log'!$F$5:$F$304,"&lt;&gt;Rejected",'Leave Log'!$B$5:$B$304,"CL")&gt;0,"CL",IF(COUNTIFS('Leave Log'!$A$5:$A$304,$A21,'Leave Log'!$C$5:$C$304,"&lt;="&amp;X$5,'Leave Log'!$D$5:$D$304,"&gt;="&amp;X$5,'Leave Log'!$F$5:$F$304,"&lt;&gt;Rejected",'Leave Log'!$B$5:$B$304,"UL")&gt;0,"UL",IF(COUNTIFS('Leave Log'!$A$5:$A$304,$A21,'Leave Log'!$C$5:$C$304,"&lt;="&amp;X$5,'Leave Log'!$D$5:$D$304,"&gt;="&amp;X$5,'Leave Log'!$F$5:$F$304,"&lt;&gt;Rejected",'Leave Log'!$B$5:$B$304,"OT")&gt;0,"OT",""))))))</f>
        <v/>
      </c>
      <c r="Y21" s="12" t="str">
        <f aca="false">IF(OR(Y$5="",$A21=""),"",IF(COUNTIFS('Leave Log'!$A$5:$A$304,$A21,'Leave Log'!$C$5:$C$304,"&lt;="&amp;Y$5,'Leave Log'!$D$5:$D$304,"&gt;="&amp;Y$5,'Leave Log'!$F$5:$F$304,"&lt;&gt;Rejected",'Leave Log'!$B$5:$B$304,"AL")&gt;0,"AL",IF(COUNTIFS('Leave Log'!$A$5:$A$304,$A21,'Leave Log'!$C$5:$C$304,"&lt;="&amp;Y$5,'Leave Log'!$D$5:$D$304,"&gt;="&amp;Y$5,'Leave Log'!$F$5:$F$304,"&lt;&gt;Rejected",'Leave Log'!$B$5:$B$304,"SL")&gt;0,"SL",IF(COUNTIFS('Leave Log'!$A$5:$A$304,$A21,'Leave Log'!$C$5:$C$304,"&lt;="&amp;Y$5,'Leave Log'!$D$5:$D$304,"&gt;="&amp;Y$5,'Leave Log'!$F$5:$F$304,"&lt;&gt;Rejected",'Leave Log'!$B$5:$B$304,"CL")&gt;0,"CL",IF(COUNTIFS('Leave Log'!$A$5:$A$304,$A21,'Leave Log'!$C$5:$C$304,"&lt;="&amp;Y$5,'Leave Log'!$D$5:$D$304,"&gt;="&amp;Y$5,'Leave Log'!$F$5:$F$304,"&lt;&gt;Rejected",'Leave Log'!$B$5:$B$304,"UL")&gt;0,"UL",IF(COUNTIFS('Leave Log'!$A$5:$A$304,$A21,'Leave Log'!$C$5:$C$304,"&lt;="&amp;Y$5,'Leave Log'!$D$5:$D$304,"&gt;="&amp;Y$5,'Leave Log'!$F$5:$F$304,"&lt;&gt;Rejected",'Leave Log'!$B$5:$B$304,"OT")&gt;0,"OT",""))))))</f>
        <v/>
      </c>
      <c r="Z21" s="12" t="str">
        <f aca="false">IF(OR(Z$5="",$A21=""),"",IF(COUNTIFS('Leave Log'!$A$5:$A$304,$A21,'Leave Log'!$C$5:$C$304,"&lt;="&amp;Z$5,'Leave Log'!$D$5:$D$304,"&gt;="&amp;Z$5,'Leave Log'!$F$5:$F$304,"&lt;&gt;Rejected",'Leave Log'!$B$5:$B$304,"AL")&gt;0,"AL",IF(COUNTIFS('Leave Log'!$A$5:$A$304,$A21,'Leave Log'!$C$5:$C$304,"&lt;="&amp;Z$5,'Leave Log'!$D$5:$D$304,"&gt;="&amp;Z$5,'Leave Log'!$F$5:$F$304,"&lt;&gt;Rejected",'Leave Log'!$B$5:$B$304,"SL")&gt;0,"SL",IF(COUNTIFS('Leave Log'!$A$5:$A$304,$A21,'Leave Log'!$C$5:$C$304,"&lt;="&amp;Z$5,'Leave Log'!$D$5:$D$304,"&gt;="&amp;Z$5,'Leave Log'!$F$5:$F$304,"&lt;&gt;Rejected",'Leave Log'!$B$5:$B$304,"CL")&gt;0,"CL",IF(COUNTIFS('Leave Log'!$A$5:$A$304,$A21,'Leave Log'!$C$5:$C$304,"&lt;="&amp;Z$5,'Leave Log'!$D$5:$D$304,"&gt;="&amp;Z$5,'Leave Log'!$F$5:$F$304,"&lt;&gt;Rejected",'Leave Log'!$B$5:$B$304,"UL")&gt;0,"UL",IF(COUNTIFS('Leave Log'!$A$5:$A$304,$A21,'Leave Log'!$C$5:$C$304,"&lt;="&amp;Z$5,'Leave Log'!$D$5:$D$304,"&gt;="&amp;Z$5,'Leave Log'!$F$5:$F$304,"&lt;&gt;Rejected",'Leave Log'!$B$5:$B$304,"OT")&gt;0,"OT",""))))))</f>
        <v/>
      </c>
      <c r="AA21" s="12" t="str">
        <f aca="false">IF(OR(AA$5="",$A21=""),"",IF(COUNTIFS('Leave Log'!$A$5:$A$304,$A21,'Leave Log'!$C$5:$C$304,"&lt;="&amp;AA$5,'Leave Log'!$D$5:$D$304,"&gt;="&amp;AA$5,'Leave Log'!$F$5:$F$304,"&lt;&gt;Rejected",'Leave Log'!$B$5:$B$304,"AL")&gt;0,"AL",IF(COUNTIFS('Leave Log'!$A$5:$A$304,$A21,'Leave Log'!$C$5:$C$304,"&lt;="&amp;AA$5,'Leave Log'!$D$5:$D$304,"&gt;="&amp;AA$5,'Leave Log'!$F$5:$F$304,"&lt;&gt;Rejected",'Leave Log'!$B$5:$B$304,"SL")&gt;0,"SL",IF(COUNTIFS('Leave Log'!$A$5:$A$304,$A21,'Leave Log'!$C$5:$C$304,"&lt;="&amp;AA$5,'Leave Log'!$D$5:$D$304,"&gt;="&amp;AA$5,'Leave Log'!$F$5:$F$304,"&lt;&gt;Rejected",'Leave Log'!$B$5:$B$304,"CL")&gt;0,"CL",IF(COUNTIFS('Leave Log'!$A$5:$A$304,$A21,'Leave Log'!$C$5:$C$304,"&lt;="&amp;AA$5,'Leave Log'!$D$5:$D$304,"&gt;="&amp;AA$5,'Leave Log'!$F$5:$F$304,"&lt;&gt;Rejected",'Leave Log'!$B$5:$B$304,"UL")&gt;0,"UL",IF(COUNTIFS('Leave Log'!$A$5:$A$304,$A21,'Leave Log'!$C$5:$C$304,"&lt;="&amp;AA$5,'Leave Log'!$D$5:$D$304,"&gt;="&amp;AA$5,'Leave Log'!$F$5:$F$304,"&lt;&gt;Rejected",'Leave Log'!$B$5:$B$304,"OT")&gt;0,"OT",""))))))</f>
        <v/>
      </c>
      <c r="AB21" s="12" t="str">
        <f aca="false">IF(OR(AB$5="",$A21=""),"",IF(COUNTIFS('Leave Log'!$A$5:$A$304,$A21,'Leave Log'!$C$5:$C$304,"&lt;="&amp;AB$5,'Leave Log'!$D$5:$D$304,"&gt;="&amp;AB$5,'Leave Log'!$F$5:$F$304,"&lt;&gt;Rejected",'Leave Log'!$B$5:$B$304,"AL")&gt;0,"AL",IF(COUNTIFS('Leave Log'!$A$5:$A$304,$A21,'Leave Log'!$C$5:$C$304,"&lt;="&amp;AB$5,'Leave Log'!$D$5:$D$304,"&gt;="&amp;AB$5,'Leave Log'!$F$5:$F$304,"&lt;&gt;Rejected",'Leave Log'!$B$5:$B$304,"SL")&gt;0,"SL",IF(COUNTIFS('Leave Log'!$A$5:$A$304,$A21,'Leave Log'!$C$5:$C$304,"&lt;="&amp;AB$5,'Leave Log'!$D$5:$D$304,"&gt;="&amp;AB$5,'Leave Log'!$F$5:$F$304,"&lt;&gt;Rejected",'Leave Log'!$B$5:$B$304,"CL")&gt;0,"CL",IF(COUNTIFS('Leave Log'!$A$5:$A$304,$A21,'Leave Log'!$C$5:$C$304,"&lt;="&amp;AB$5,'Leave Log'!$D$5:$D$304,"&gt;="&amp;AB$5,'Leave Log'!$F$5:$F$304,"&lt;&gt;Rejected",'Leave Log'!$B$5:$B$304,"UL")&gt;0,"UL",IF(COUNTIFS('Leave Log'!$A$5:$A$304,$A21,'Leave Log'!$C$5:$C$304,"&lt;="&amp;AB$5,'Leave Log'!$D$5:$D$304,"&gt;="&amp;AB$5,'Leave Log'!$F$5:$F$304,"&lt;&gt;Rejected",'Leave Log'!$B$5:$B$304,"OT")&gt;0,"OT",""))))))</f>
        <v/>
      </c>
      <c r="AC21" s="12" t="str">
        <f aca="false">IF(OR(AC$5="",$A21=""),"",IF(COUNTIFS('Leave Log'!$A$5:$A$304,$A21,'Leave Log'!$C$5:$C$304,"&lt;="&amp;AC$5,'Leave Log'!$D$5:$D$304,"&gt;="&amp;AC$5,'Leave Log'!$F$5:$F$304,"&lt;&gt;Rejected",'Leave Log'!$B$5:$B$304,"AL")&gt;0,"AL",IF(COUNTIFS('Leave Log'!$A$5:$A$304,$A21,'Leave Log'!$C$5:$C$304,"&lt;="&amp;AC$5,'Leave Log'!$D$5:$D$304,"&gt;="&amp;AC$5,'Leave Log'!$F$5:$F$304,"&lt;&gt;Rejected",'Leave Log'!$B$5:$B$304,"SL")&gt;0,"SL",IF(COUNTIFS('Leave Log'!$A$5:$A$304,$A21,'Leave Log'!$C$5:$C$304,"&lt;="&amp;AC$5,'Leave Log'!$D$5:$D$304,"&gt;="&amp;AC$5,'Leave Log'!$F$5:$F$304,"&lt;&gt;Rejected",'Leave Log'!$B$5:$B$304,"CL")&gt;0,"CL",IF(COUNTIFS('Leave Log'!$A$5:$A$304,$A21,'Leave Log'!$C$5:$C$304,"&lt;="&amp;AC$5,'Leave Log'!$D$5:$D$304,"&gt;="&amp;AC$5,'Leave Log'!$F$5:$F$304,"&lt;&gt;Rejected",'Leave Log'!$B$5:$B$304,"UL")&gt;0,"UL",IF(COUNTIFS('Leave Log'!$A$5:$A$304,$A21,'Leave Log'!$C$5:$C$304,"&lt;="&amp;AC$5,'Leave Log'!$D$5:$D$304,"&gt;="&amp;AC$5,'Leave Log'!$F$5:$F$304,"&lt;&gt;Rejected",'Leave Log'!$B$5:$B$304,"OT")&gt;0,"OT",""))))))</f>
        <v/>
      </c>
      <c r="AD21" s="12" t="str">
        <f aca="false">IF(OR(AD$5="",$A21=""),"",IF(COUNTIFS('Leave Log'!$A$5:$A$304,$A21,'Leave Log'!$C$5:$C$304,"&lt;="&amp;AD$5,'Leave Log'!$D$5:$D$304,"&gt;="&amp;AD$5,'Leave Log'!$F$5:$F$304,"&lt;&gt;Rejected",'Leave Log'!$B$5:$B$304,"AL")&gt;0,"AL",IF(COUNTIFS('Leave Log'!$A$5:$A$304,$A21,'Leave Log'!$C$5:$C$304,"&lt;="&amp;AD$5,'Leave Log'!$D$5:$D$304,"&gt;="&amp;AD$5,'Leave Log'!$F$5:$F$304,"&lt;&gt;Rejected",'Leave Log'!$B$5:$B$304,"SL")&gt;0,"SL",IF(COUNTIFS('Leave Log'!$A$5:$A$304,$A21,'Leave Log'!$C$5:$C$304,"&lt;="&amp;AD$5,'Leave Log'!$D$5:$D$304,"&gt;="&amp;AD$5,'Leave Log'!$F$5:$F$304,"&lt;&gt;Rejected",'Leave Log'!$B$5:$B$304,"CL")&gt;0,"CL",IF(COUNTIFS('Leave Log'!$A$5:$A$304,$A21,'Leave Log'!$C$5:$C$304,"&lt;="&amp;AD$5,'Leave Log'!$D$5:$D$304,"&gt;="&amp;AD$5,'Leave Log'!$F$5:$F$304,"&lt;&gt;Rejected",'Leave Log'!$B$5:$B$304,"UL")&gt;0,"UL",IF(COUNTIFS('Leave Log'!$A$5:$A$304,$A21,'Leave Log'!$C$5:$C$304,"&lt;="&amp;AD$5,'Leave Log'!$D$5:$D$304,"&gt;="&amp;AD$5,'Leave Log'!$F$5:$F$304,"&lt;&gt;Rejected",'Leave Log'!$B$5:$B$304,"OT")&gt;0,"OT",""))))))</f>
        <v/>
      </c>
      <c r="AE21" s="12" t="str">
        <f aca="false">IF(OR(AE$5="",$A21=""),"",IF(COUNTIFS('Leave Log'!$A$5:$A$304,$A21,'Leave Log'!$C$5:$C$304,"&lt;="&amp;AE$5,'Leave Log'!$D$5:$D$304,"&gt;="&amp;AE$5,'Leave Log'!$F$5:$F$304,"&lt;&gt;Rejected",'Leave Log'!$B$5:$B$304,"AL")&gt;0,"AL",IF(COUNTIFS('Leave Log'!$A$5:$A$304,$A21,'Leave Log'!$C$5:$C$304,"&lt;="&amp;AE$5,'Leave Log'!$D$5:$D$304,"&gt;="&amp;AE$5,'Leave Log'!$F$5:$F$304,"&lt;&gt;Rejected",'Leave Log'!$B$5:$B$304,"SL")&gt;0,"SL",IF(COUNTIFS('Leave Log'!$A$5:$A$304,$A21,'Leave Log'!$C$5:$C$304,"&lt;="&amp;AE$5,'Leave Log'!$D$5:$D$304,"&gt;="&amp;AE$5,'Leave Log'!$F$5:$F$304,"&lt;&gt;Rejected",'Leave Log'!$B$5:$B$304,"CL")&gt;0,"CL",IF(COUNTIFS('Leave Log'!$A$5:$A$304,$A21,'Leave Log'!$C$5:$C$304,"&lt;="&amp;AE$5,'Leave Log'!$D$5:$D$304,"&gt;="&amp;AE$5,'Leave Log'!$F$5:$F$304,"&lt;&gt;Rejected",'Leave Log'!$B$5:$B$304,"UL")&gt;0,"UL",IF(COUNTIFS('Leave Log'!$A$5:$A$304,$A21,'Leave Log'!$C$5:$C$304,"&lt;="&amp;AE$5,'Leave Log'!$D$5:$D$304,"&gt;="&amp;AE$5,'Leave Log'!$F$5:$F$304,"&lt;&gt;Rejected",'Leave Log'!$B$5:$B$304,"OT")&gt;0,"OT",""))))))</f>
        <v/>
      </c>
      <c r="AF21" s="12" t="str">
        <f aca="false">IF(OR(AF$5="",$A21=""),"",IF(COUNTIFS('Leave Log'!$A$5:$A$304,$A21,'Leave Log'!$C$5:$C$304,"&lt;="&amp;AF$5,'Leave Log'!$D$5:$D$304,"&gt;="&amp;AF$5,'Leave Log'!$F$5:$F$304,"&lt;&gt;Rejected",'Leave Log'!$B$5:$B$304,"AL")&gt;0,"AL",IF(COUNTIFS('Leave Log'!$A$5:$A$304,$A21,'Leave Log'!$C$5:$C$304,"&lt;="&amp;AF$5,'Leave Log'!$D$5:$D$304,"&gt;="&amp;AF$5,'Leave Log'!$F$5:$F$304,"&lt;&gt;Rejected",'Leave Log'!$B$5:$B$304,"SL")&gt;0,"SL",IF(COUNTIFS('Leave Log'!$A$5:$A$304,$A21,'Leave Log'!$C$5:$C$304,"&lt;="&amp;AF$5,'Leave Log'!$D$5:$D$304,"&gt;="&amp;AF$5,'Leave Log'!$F$5:$F$304,"&lt;&gt;Rejected",'Leave Log'!$B$5:$B$304,"CL")&gt;0,"CL",IF(COUNTIFS('Leave Log'!$A$5:$A$304,$A21,'Leave Log'!$C$5:$C$304,"&lt;="&amp;AF$5,'Leave Log'!$D$5:$D$304,"&gt;="&amp;AF$5,'Leave Log'!$F$5:$F$304,"&lt;&gt;Rejected",'Leave Log'!$B$5:$B$304,"UL")&gt;0,"UL",IF(COUNTIFS('Leave Log'!$A$5:$A$304,$A21,'Leave Log'!$C$5:$C$304,"&lt;="&amp;AF$5,'Leave Log'!$D$5:$D$304,"&gt;="&amp;AF$5,'Leave Log'!$F$5:$F$304,"&lt;&gt;Rejected",'Leave Log'!$B$5:$B$304,"OT")&gt;0,"OT",""))))))</f>
        <v/>
      </c>
      <c r="AG21" s="12" t="str">
        <f aca="false">IF(OR(AG$5="",$A21=""),"",IF(COUNTIFS('Leave Log'!$A$5:$A$304,$A21,'Leave Log'!$C$5:$C$304,"&lt;="&amp;AG$5,'Leave Log'!$D$5:$D$304,"&gt;="&amp;AG$5,'Leave Log'!$F$5:$F$304,"&lt;&gt;Rejected",'Leave Log'!$B$5:$B$304,"AL")&gt;0,"AL",IF(COUNTIFS('Leave Log'!$A$5:$A$304,$A21,'Leave Log'!$C$5:$C$304,"&lt;="&amp;AG$5,'Leave Log'!$D$5:$D$304,"&gt;="&amp;AG$5,'Leave Log'!$F$5:$F$304,"&lt;&gt;Rejected",'Leave Log'!$B$5:$B$304,"SL")&gt;0,"SL",IF(COUNTIFS('Leave Log'!$A$5:$A$304,$A21,'Leave Log'!$C$5:$C$304,"&lt;="&amp;AG$5,'Leave Log'!$D$5:$D$304,"&gt;="&amp;AG$5,'Leave Log'!$F$5:$F$304,"&lt;&gt;Rejected",'Leave Log'!$B$5:$B$304,"CL")&gt;0,"CL",IF(COUNTIFS('Leave Log'!$A$5:$A$304,$A21,'Leave Log'!$C$5:$C$304,"&lt;="&amp;AG$5,'Leave Log'!$D$5:$D$304,"&gt;="&amp;AG$5,'Leave Log'!$F$5:$F$304,"&lt;&gt;Rejected",'Leave Log'!$B$5:$B$304,"UL")&gt;0,"UL",IF(COUNTIFS('Leave Log'!$A$5:$A$304,$A21,'Leave Log'!$C$5:$C$304,"&lt;="&amp;AG$5,'Leave Log'!$D$5:$D$304,"&gt;="&amp;AG$5,'Leave Log'!$F$5:$F$304,"&lt;&gt;Rejected",'Leave Log'!$B$5:$B$304,"OT")&gt;0,"OT",""))))))</f>
        <v/>
      </c>
    </row>
    <row r="22" customFormat="false" ht="15" hidden="false" customHeight="false" outlineLevel="0" collapsed="false">
      <c r="A22" s="3" t="str">
        <f aca="false">IF(Employees!B21="","",Employees!B21)</f>
        <v/>
      </c>
      <c r="B22" s="11" t="str">
        <f aca="false">IF(Employees!B21="","",Employees!C21)</f>
        <v/>
      </c>
      <c r="C22" s="12" t="str">
        <f aca="false">IF(OR(C$5="",$A22=""),"",IF(COUNTIFS('Leave Log'!$A$5:$A$304,$A22,'Leave Log'!$C$5:$C$304,"&lt;="&amp;C$5,'Leave Log'!$D$5:$D$304,"&gt;="&amp;C$5,'Leave Log'!$F$5:$F$304,"&lt;&gt;Rejected",'Leave Log'!$B$5:$B$304,"AL")&gt;0,"AL",IF(COUNTIFS('Leave Log'!$A$5:$A$304,$A22,'Leave Log'!$C$5:$C$304,"&lt;="&amp;C$5,'Leave Log'!$D$5:$D$304,"&gt;="&amp;C$5,'Leave Log'!$F$5:$F$304,"&lt;&gt;Rejected",'Leave Log'!$B$5:$B$304,"SL")&gt;0,"SL",IF(COUNTIFS('Leave Log'!$A$5:$A$304,$A22,'Leave Log'!$C$5:$C$304,"&lt;="&amp;C$5,'Leave Log'!$D$5:$D$304,"&gt;="&amp;C$5,'Leave Log'!$F$5:$F$304,"&lt;&gt;Rejected",'Leave Log'!$B$5:$B$304,"CL")&gt;0,"CL",IF(COUNTIFS('Leave Log'!$A$5:$A$304,$A22,'Leave Log'!$C$5:$C$304,"&lt;="&amp;C$5,'Leave Log'!$D$5:$D$304,"&gt;="&amp;C$5,'Leave Log'!$F$5:$F$304,"&lt;&gt;Rejected",'Leave Log'!$B$5:$B$304,"UL")&gt;0,"UL",IF(COUNTIFS('Leave Log'!$A$5:$A$304,$A22,'Leave Log'!$C$5:$C$304,"&lt;="&amp;C$5,'Leave Log'!$D$5:$D$304,"&gt;="&amp;C$5,'Leave Log'!$F$5:$F$304,"&lt;&gt;Rejected",'Leave Log'!$B$5:$B$304,"OT")&gt;0,"OT",""))))))</f>
        <v/>
      </c>
      <c r="D22" s="12" t="str">
        <f aca="false">IF(OR(D$5="",$A22=""),"",IF(COUNTIFS('Leave Log'!$A$5:$A$304,$A22,'Leave Log'!$C$5:$C$304,"&lt;="&amp;D$5,'Leave Log'!$D$5:$D$304,"&gt;="&amp;D$5,'Leave Log'!$F$5:$F$304,"&lt;&gt;Rejected",'Leave Log'!$B$5:$B$304,"AL")&gt;0,"AL",IF(COUNTIFS('Leave Log'!$A$5:$A$304,$A22,'Leave Log'!$C$5:$C$304,"&lt;="&amp;D$5,'Leave Log'!$D$5:$D$304,"&gt;="&amp;D$5,'Leave Log'!$F$5:$F$304,"&lt;&gt;Rejected",'Leave Log'!$B$5:$B$304,"SL")&gt;0,"SL",IF(COUNTIFS('Leave Log'!$A$5:$A$304,$A22,'Leave Log'!$C$5:$C$304,"&lt;="&amp;D$5,'Leave Log'!$D$5:$D$304,"&gt;="&amp;D$5,'Leave Log'!$F$5:$F$304,"&lt;&gt;Rejected",'Leave Log'!$B$5:$B$304,"CL")&gt;0,"CL",IF(COUNTIFS('Leave Log'!$A$5:$A$304,$A22,'Leave Log'!$C$5:$C$304,"&lt;="&amp;D$5,'Leave Log'!$D$5:$D$304,"&gt;="&amp;D$5,'Leave Log'!$F$5:$F$304,"&lt;&gt;Rejected",'Leave Log'!$B$5:$B$304,"UL")&gt;0,"UL",IF(COUNTIFS('Leave Log'!$A$5:$A$304,$A22,'Leave Log'!$C$5:$C$304,"&lt;="&amp;D$5,'Leave Log'!$D$5:$D$304,"&gt;="&amp;D$5,'Leave Log'!$F$5:$F$304,"&lt;&gt;Rejected",'Leave Log'!$B$5:$B$304,"OT")&gt;0,"OT",""))))))</f>
        <v/>
      </c>
      <c r="E22" s="12" t="str">
        <f aca="false">IF(OR(E$5="",$A22=""),"",IF(COUNTIFS('Leave Log'!$A$5:$A$304,$A22,'Leave Log'!$C$5:$C$304,"&lt;="&amp;E$5,'Leave Log'!$D$5:$D$304,"&gt;="&amp;E$5,'Leave Log'!$F$5:$F$304,"&lt;&gt;Rejected",'Leave Log'!$B$5:$B$304,"AL")&gt;0,"AL",IF(COUNTIFS('Leave Log'!$A$5:$A$304,$A22,'Leave Log'!$C$5:$C$304,"&lt;="&amp;E$5,'Leave Log'!$D$5:$D$304,"&gt;="&amp;E$5,'Leave Log'!$F$5:$F$304,"&lt;&gt;Rejected",'Leave Log'!$B$5:$B$304,"SL")&gt;0,"SL",IF(COUNTIFS('Leave Log'!$A$5:$A$304,$A22,'Leave Log'!$C$5:$C$304,"&lt;="&amp;E$5,'Leave Log'!$D$5:$D$304,"&gt;="&amp;E$5,'Leave Log'!$F$5:$F$304,"&lt;&gt;Rejected",'Leave Log'!$B$5:$B$304,"CL")&gt;0,"CL",IF(COUNTIFS('Leave Log'!$A$5:$A$304,$A22,'Leave Log'!$C$5:$C$304,"&lt;="&amp;E$5,'Leave Log'!$D$5:$D$304,"&gt;="&amp;E$5,'Leave Log'!$F$5:$F$304,"&lt;&gt;Rejected",'Leave Log'!$B$5:$B$304,"UL")&gt;0,"UL",IF(COUNTIFS('Leave Log'!$A$5:$A$304,$A22,'Leave Log'!$C$5:$C$304,"&lt;="&amp;E$5,'Leave Log'!$D$5:$D$304,"&gt;="&amp;E$5,'Leave Log'!$F$5:$F$304,"&lt;&gt;Rejected",'Leave Log'!$B$5:$B$304,"OT")&gt;0,"OT",""))))))</f>
        <v/>
      </c>
      <c r="F22" s="12" t="str">
        <f aca="false">IF(OR(F$5="",$A22=""),"",IF(COUNTIFS('Leave Log'!$A$5:$A$304,$A22,'Leave Log'!$C$5:$C$304,"&lt;="&amp;F$5,'Leave Log'!$D$5:$D$304,"&gt;="&amp;F$5,'Leave Log'!$F$5:$F$304,"&lt;&gt;Rejected",'Leave Log'!$B$5:$B$304,"AL")&gt;0,"AL",IF(COUNTIFS('Leave Log'!$A$5:$A$304,$A22,'Leave Log'!$C$5:$C$304,"&lt;="&amp;F$5,'Leave Log'!$D$5:$D$304,"&gt;="&amp;F$5,'Leave Log'!$F$5:$F$304,"&lt;&gt;Rejected",'Leave Log'!$B$5:$B$304,"SL")&gt;0,"SL",IF(COUNTIFS('Leave Log'!$A$5:$A$304,$A22,'Leave Log'!$C$5:$C$304,"&lt;="&amp;F$5,'Leave Log'!$D$5:$D$304,"&gt;="&amp;F$5,'Leave Log'!$F$5:$F$304,"&lt;&gt;Rejected",'Leave Log'!$B$5:$B$304,"CL")&gt;0,"CL",IF(COUNTIFS('Leave Log'!$A$5:$A$304,$A22,'Leave Log'!$C$5:$C$304,"&lt;="&amp;F$5,'Leave Log'!$D$5:$D$304,"&gt;="&amp;F$5,'Leave Log'!$F$5:$F$304,"&lt;&gt;Rejected",'Leave Log'!$B$5:$B$304,"UL")&gt;0,"UL",IF(COUNTIFS('Leave Log'!$A$5:$A$304,$A22,'Leave Log'!$C$5:$C$304,"&lt;="&amp;F$5,'Leave Log'!$D$5:$D$304,"&gt;="&amp;F$5,'Leave Log'!$F$5:$F$304,"&lt;&gt;Rejected",'Leave Log'!$B$5:$B$304,"OT")&gt;0,"OT",""))))))</f>
        <v/>
      </c>
      <c r="G22" s="12" t="str">
        <f aca="false">IF(OR(G$5="",$A22=""),"",IF(COUNTIFS('Leave Log'!$A$5:$A$304,$A22,'Leave Log'!$C$5:$C$304,"&lt;="&amp;G$5,'Leave Log'!$D$5:$D$304,"&gt;="&amp;G$5,'Leave Log'!$F$5:$F$304,"&lt;&gt;Rejected",'Leave Log'!$B$5:$B$304,"AL")&gt;0,"AL",IF(COUNTIFS('Leave Log'!$A$5:$A$304,$A22,'Leave Log'!$C$5:$C$304,"&lt;="&amp;G$5,'Leave Log'!$D$5:$D$304,"&gt;="&amp;G$5,'Leave Log'!$F$5:$F$304,"&lt;&gt;Rejected",'Leave Log'!$B$5:$B$304,"SL")&gt;0,"SL",IF(COUNTIFS('Leave Log'!$A$5:$A$304,$A22,'Leave Log'!$C$5:$C$304,"&lt;="&amp;G$5,'Leave Log'!$D$5:$D$304,"&gt;="&amp;G$5,'Leave Log'!$F$5:$F$304,"&lt;&gt;Rejected",'Leave Log'!$B$5:$B$304,"CL")&gt;0,"CL",IF(COUNTIFS('Leave Log'!$A$5:$A$304,$A22,'Leave Log'!$C$5:$C$304,"&lt;="&amp;G$5,'Leave Log'!$D$5:$D$304,"&gt;="&amp;G$5,'Leave Log'!$F$5:$F$304,"&lt;&gt;Rejected",'Leave Log'!$B$5:$B$304,"UL")&gt;0,"UL",IF(COUNTIFS('Leave Log'!$A$5:$A$304,$A22,'Leave Log'!$C$5:$C$304,"&lt;="&amp;G$5,'Leave Log'!$D$5:$D$304,"&gt;="&amp;G$5,'Leave Log'!$F$5:$F$304,"&lt;&gt;Rejected",'Leave Log'!$B$5:$B$304,"OT")&gt;0,"OT",""))))))</f>
        <v/>
      </c>
      <c r="H22" s="12" t="str">
        <f aca="false">IF(OR(H$5="",$A22=""),"",IF(COUNTIFS('Leave Log'!$A$5:$A$304,$A22,'Leave Log'!$C$5:$C$304,"&lt;="&amp;H$5,'Leave Log'!$D$5:$D$304,"&gt;="&amp;H$5,'Leave Log'!$F$5:$F$304,"&lt;&gt;Rejected",'Leave Log'!$B$5:$B$304,"AL")&gt;0,"AL",IF(COUNTIFS('Leave Log'!$A$5:$A$304,$A22,'Leave Log'!$C$5:$C$304,"&lt;="&amp;H$5,'Leave Log'!$D$5:$D$304,"&gt;="&amp;H$5,'Leave Log'!$F$5:$F$304,"&lt;&gt;Rejected",'Leave Log'!$B$5:$B$304,"SL")&gt;0,"SL",IF(COUNTIFS('Leave Log'!$A$5:$A$304,$A22,'Leave Log'!$C$5:$C$304,"&lt;="&amp;H$5,'Leave Log'!$D$5:$D$304,"&gt;="&amp;H$5,'Leave Log'!$F$5:$F$304,"&lt;&gt;Rejected",'Leave Log'!$B$5:$B$304,"CL")&gt;0,"CL",IF(COUNTIFS('Leave Log'!$A$5:$A$304,$A22,'Leave Log'!$C$5:$C$304,"&lt;="&amp;H$5,'Leave Log'!$D$5:$D$304,"&gt;="&amp;H$5,'Leave Log'!$F$5:$F$304,"&lt;&gt;Rejected",'Leave Log'!$B$5:$B$304,"UL")&gt;0,"UL",IF(COUNTIFS('Leave Log'!$A$5:$A$304,$A22,'Leave Log'!$C$5:$C$304,"&lt;="&amp;H$5,'Leave Log'!$D$5:$D$304,"&gt;="&amp;H$5,'Leave Log'!$F$5:$F$304,"&lt;&gt;Rejected",'Leave Log'!$B$5:$B$304,"OT")&gt;0,"OT",""))))))</f>
        <v/>
      </c>
      <c r="I22" s="12" t="str">
        <f aca="false">IF(OR(I$5="",$A22=""),"",IF(COUNTIFS('Leave Log'!$A$5:$A$304,$A22,'Leave Log'!$C$5:$C$304,"&lt;="&amp;I$5,'Leave Log'!$D$5:$D$304,"&gt;="&amp;I$5,'Leave Log'!$F$5:$F$304,"&lt;&gt;Rejected",'Leave Log'!$B$5:$B$304,"AL")&gt;0,"AL",IF(COUNTIFS('Leave Log'!$A$5:$A$304,$A22,'Leave Log'!$C$5:$C$304,"&lt;="&amp;I$5,'Leave Log'!$D$5:$D$304,"&gt;="&amp;I$5,'Leave Log'!$F$5:$F$304,"&lt;&gt;Rejected",'Leave Log'!$B$5:$B$304,"SL")&gt;0,"SL",IF(COUNTIFS('Leave Log'!$A$5:$A$304,$A22,'Leave Log'!$C$5:$C$304,"&lt;="&amp;I$5,'Leave Log'!$D$5:$D$304,"&gt;="&amp;I$5,'Leave Log'!$F$5:$F$304,"&lt;&gt;Rejected",'Leave Log'!$B$5:$B$304,"CL")&gt;0,"CL",IF(COUNTIFS('Leave Log'!$A$5:$A$304,$A22,'Leave Log'!$C$5:$C$304,"&lt;="&amp;I$5,'Leave Log'!$D$5:$D$304,"&gt;="&amp;I$5,'Leave Log'!$F$5:$F$304,"&lt;&gt;Rejected",'Leave Log'!$B$5:$B$304,"UL")&gt;0,"UL",IF(COUNTIFS('Leave Log'!$A$5:$A$304,$A22,'Leave Log'!$C$5:$C$304,"&lt;="&amp;I$5,'Leave Log'!$D$5:$D$304,"&gt;="&amp;I$5,'Leave Log'!$F$5:$F$304,"&lt;&gt;Rejected",'Leave Log'!$B$5:$B$304,"OT")&gt;0,"OT",""))))))</f>
        <v/>
      </c>
      <c r="J22" s="12" t="str">
        <f aca="false">IF(OR(J$5="",$A22=""),"",IF(COUNTIFS('Leave Log'!$A$5:$A$304,$A22,'Leave Log'!$C$5:$C$304,"&lt;="&amp;J$5,'Leave Log'!$D$5:$D$304,"&gt;="&amp;J$5,'Leave Log'!$F$5:$F$304,"&lt;&gt;Rejected",'Leave Log'!$B$5:$B$304,"AL")&gt;0,"AL",IF(COUNTIFS('Leave Log'!$A$5:$A$304,$A22,'Leave Log'!$C$5:$C$304,"&lt;="&amp;J$5,'Leave Log'!$D$5:$D$304,"&gt;="&amp;J$5,'Leave Log'!$F$5:$F$304,"&lt;&gt;Rejected",'Leave Log'!$B$5:$B$304,"SL")&gt;0,"SL",IF(COUNTIFS('Leave Log'!$A$5:$A$304,$A22,'Leave Log'!$C$5:$C$304,"&lt;="&amp;J$5,'Leave Log'!$D$5:$D$304,"&gt;="&amp;J$5,'Leave Log'!$F$5:$F$304,"&lt;&gt;Rejected",'Leave Log'!$B$5:$B$304,"CL")&gt;0,"CL",IF(COUNTIFS('Leave Log'!$A$5:$A$304,$A22,'Leave Log'!$C$5:$C$304,"&lt;="&amp;J$5,'Leave Log'!$D$5:$D$304,"&gt;="&amp;J$5,'Leave Log'!$F$5:$F$304,"&lt;&gt;Rejected",'Leave Log'!$B$5:$B$304,"UL")&gt;0,"UL",IF(COUNTIFS('Leave Log'!$A$5:$A$304,$A22,'Leave Log'!$C$5:$C$304,"&lt;="&amp;J$5,'Leave Log'!$D$5:$D$304,"&gt;="&amp;J$5,'Leave Log'!$F$5:$F$304,"&lt;&gt;Rejected",'Leave Log'!$B$5:$B$304,"OT")&gt;0,"OT",""))))))</f>
        <v/>
      </c>
      <c r="K22" s="12" t="str">
        <f aca="false">IF(OR(K$5="",$A22=""),"",IF(COUNTIFS('Leave Log'!$A$5:$A$304,$A22,'Leave Log'!$C$5:$C$304,"&lt;="&amp;K$5,'Leave Log'!$D$5:$D$304,"&gt;="&amp;K$5,'Leave Log'!$F$5:$F$304,"&lt;&gt;Rejected",'Leave Log'!$B$5:$B$304,"AL")&gt;0,"AL",IF(COUNTIFS('Leave Log'!$A$5:$A$304,$A22,'Leave Log'!$C$5:$C$304,"&lt;="&amp;K$5,'Leave Log'!$D$5:$D$304,"&gt;="&amp;K$5,'Leave Log'!$F$5:$F$304,"&lt;&gt;Rejected",'Leave Log'!$B$5:$B$304,"SL")&gt;0,"SL",IF(COUNTIFS('Leave Log'!$A$5:$A$304,$A22,'Leave Log'!$C$5:$C$304,"&lt;="&amp;K$5,'Leave Log'!$D$5:$D$304,"&gt;="&amp;K$5,'Leave Log'!$F$5:$F$304,"&lt;&gt;Rejected",'Leave Log'!$B$5:$B$304,"CL")&gt;0,"CL",IF(COUNTIFS('Leave Log'!$A$5:$A$304,$A22,'Leave Log'!$C$5:$C$304,"&lt;="&amp;K$5,'Leave Log'!$D$5:$D$304,"&gt;="&amp;K$5,'Leave Log'!$F$5:$F$304,"&lt;&gt;Rejected",'Leave Log'!$B$5:$B$304,"UL")&gt;0,"UL",IF(COUNTIFS('Leave Log'!$A$5:$A$304,$A22,'Leave Log'!$C$5:$C$304,"&lt;="&amp;K$5,'Leave Log'!$D$5:$D$304,"&gt;="&amp;K$5,'Leave Log'!$F$5:$F$304,"&lt;&gt;Rejected",'Leave Log'!$B$5:$B$304,"OT")&gt;0,"OT",""))))))</f>
        <v/>
      </c>
      <c r="L22" s="12" t="str">
        <f aca="false">IF(OR(L$5="",$A22=""),"",IF(COUNTIFS('Leave Log'!$A$5:$A$304,$A22,'Leave Log'!$C$5:$C$304,"&lt;="&amp;L$5,'Leave Log'!$D$5:$D$304,"&gt;="&amp;L$5,'Leave Log'!$F$5:$F$304,"&lt;&gt;Rejected",'Leave Log'!$B$5:$B$304,"AL")&gt;0,"AL",IF(COUNTIFS('Leave Log'!$A$5:$A$304,$A22,'Leave Log'!$C$5:$C$304,"&lt;="&amp;L$5,'Leave Log'!$D$5:$D$304,"&gt;="&amp;L$5,'Leave Log'!$F$5:$F$304,"&lt;&gt;Rejected",'Leave Log'!$B$5:$B$304,"SL")&gt;0,"SL",IF(COUNTIFS('Leave Log'!$A$5:$A$304,$A22,'Leave Log'!$C$5:$C$304,"&lt;="&amp;L$5,'Leave Log'!$D$5:$D$304,"&gt;="&amp;L$5,'Leave Log'!$F$5:$F$304,"&lt;&gt;Rejected",'Leave Log'!$B$5:$B$304,"CL")&gt;0,"CL",IF(COUNTIFS('Leave Log'!$A$5:$A$304,$A22,'Leave Log'!$C$5:$C$304,"&lt;="&amp;L$5,'Leave Log'!$D$5:$D$304,"&gt;="&amp;L$5,'Leave Log'!$F$5:$F$304,"&lt;&gt;Rejected",'Leave Log'!$B$5:$B$304,"UL")&gt;0,"UL",IF(COUNTIFS('Leave Log'!$A$5:$A$304,$A22,'Leave Log'!$C$5:$C$304,"&lt;="&amp;L$5,'Leave Log'!$D$5:$D$304,"&gt;="&amp;L$5,'Leave Log'!$F$5:$F$304,"&lt;&gt;Rejected",'Leave Log'!$B$5:$B$304,"OT")&gt;0,"OT",""))))))</f>
        <v/>
      </c>
      <c r="M22" s="12" t="str">
        <f aca="false">IF(OR(M$5="",$A22=""),"",IF(COUNTIFS('Leave Log'!$A$5:$A$304,$A22,'Leave Log'!$C$5:$C$304,"&lt;="&amp;M$5,'Leave Log'!$D$5:$D$304,"&gt;="&amp;M$5,'Leave Log'!$F$5:$F$304,"&lt;&gt;Rejected",'Leave Log'!$B$5:$B$304,"AL")&gt;0,"AL",IF(COUNTIFS('Leave Log'!$A$5:$A$304,$A22,'Leave Log'!$C$5:$C$304,"&lt;="&amp;M$5,'Leave Log'!$D$5:$D$304,"&gt;="&amp;M$5,'Leave Log'!$F$5:$F$304,"&lt;&gt;Rejected",'Leave Log'!$B$5:$B$304,"SL")&gt;0,"SL",IF(COUNTIFS('Leave Log'!$A$5:$A$304,$A22,'Leave Log'!$C$5:$C$304,"&lt;="&amp;M$5,'Leave Log'!$D$5:$D$304,"&gt;="&amp;M$5,'Leave Log'!$F$5:$F$304,"&lt;&gt;Rejected",'Leave Log'!$B$5:$B$304,"CL")&gt;0,"CL",IF(COUNTIFS('Leave Log'!$A$5:$A$304,$A22,'Leave Log'!$C$5:$C$304,"&lt;="&amp;M$5,'Leave Log'!$D$5:$D$304,"&gt;="&amp;M$5,'Leave Log'!$F$5:$F$304,"&lt;&gt;Rejected",'Leave Log'!$B$5:$B$304,"UL")&gt;0,"UL",IF(COUNTIFS('Leave Log'!$A$5:$A$304,$A22,'Leave Log'!$C$5:$C$304,"&lt;="&amp;M$5,'Leave Log'!$D$5:$D$304,"&gt;="&amp;M$5,'Leave Log'!$F$5:$F$304,"&lt;&gt;Rejected",'Leave Log'!$B$5:$B$304,"OT")&gt;0,"OT",""))))))</f>
        <v/>
      </c>
      <c r="N22" s="12" t="str">
        <f aca="false">IF(OR(N$5="",$A22=""),"",IF(COUNTIFS('Leave Log'!$A$5:$A$304,$A22,'Leave Log'!$C$5:$C$304,"&lt;="&amp;N$5,'Leave Log'!$D$5:$D$304,"&gt;="&amp;N$5,'Leave Log'!$F$5:$F$304,"&lt;&gt;Rejected",'Leave Log'!$B$5:$B$304,"AL")&gt;0,"AL",IF(COUNTIFS('Leave Log'!$A$5:$A$304,$A22,'Leave Log'!$C$5:$C$304,"&lt;="&amp;N$5,'Leave Log'!$D$5:$D$304,"&gt;="&amp;N$5,'Leave Log'!$F$5:$F$304,"&lt;&gt;Rejected",'Leave Log'!$B$5:$B$304,"SL")&gt;0,"SL",IF(COUNTIFS('Leave Log'!$A$5:$A$304,$A22,'Leave Log'!$C$5:$C$304,"&lt;="&amp;N$5,'Leave Log'!$D$5:$D$304,"&gt;="&amp;N$5,'Leave Log'!$F$5:$F$304,"&lt;&gt;Rejected",'Leave Log'!$B$5:$B$304,"CL")&gt;0,"CL",IF(COUNTIFS('Leave Log'!$A$5:$A$304,$A22,'Leave Log'!$C$5:$C$304,"&lt;="&amp;N$5,'Leave Log'!$D$5:$D$304,"&gt;="&amp;N$5,'Leave Log'!$F$5:$F$304,"&lt;&gt;Rejected",'Leave Log'!$B$5:$B$304,"UL")&gt;0,"UL",IF(COUNTIFS('Leave Log'!$A$5:$A$304,$A22,'Leave Log'!$C$5:$C$304,"&lt;="&amp;N$5,'Leave Log'!$D$5:$D$304,"&gt;="&amp;N$5,'Leave Log'!$F$5:$F$304,"&lt;&gt;Rejected",'Leave Log'!$B$5:$B$304,"OT")&gt;0,"OT",""))))))</f>
        <v/>
      </c>
      <c r="O22" s="12" t="str">
        <f aca="false">IF(OR(O$5="",$A22=""),"",IF(COUNTIFS('Leave Log'!$A$5:$A$304,$A22,'Leave Log'!$C$5:$C$304,"&lt;="&amp;O$5,'Leave Log'!$D$5:$D$304,"&gt;="&amp;O$5,'Leave Log'!$F$5:$F$304,"&lt;&gt;Rejected",'Leave Log'!$B$5:$B$304,"AL")&gt;0,"AL",IF(COUNTIFS('Leave Log'!$A$5:$A$304,$A22,'Leave Log'!$C$5:$C$304,"&lt;="&amp;O$5,'Leave Log'!$D$5:$D$304,"&gt;="&amp;O$5,'Leave Log'!$F$5:$F$304,"&lt;&gt;Rejected",'Leave Log'!$B$5:$B$304,"SL")&gt;0,"SL",IF(COUNTIFS('Leave Log'!$A$5:$A$304,$A22,'Leave Log'!$C$5:$C$304,"&lt;="&amp;O$5,'Leave Log'!$D$5:$D$304,"&gt;="&amp;O$5,'Leave Log'!$F$5:$F$304,"&lt;&gt;Rejected",'Leave Log'!$B$5:$B$304,"CL")&gt;0,"CL",IF(COUNTIFS('Leave Log'!$A$5:$A$304,$A22,'Leave Log'!$C$5:$C$304,"&lt;="&amp;O$5,'Leave Log'!$D$5:$D$304,"&gt;="&amp;O$5,'Leave Log'!$F$5:$F$304,"&lt;&gt;Rejected",'Leave Log'!$B$5:$B$304,"UL")&gt;0,"UL",IF(COUNTIFS('Leave Log'!$A$5:$A$304,$A22,'Leave Log'!$C$5:$C$304,"&lt;="&amp;O$5,'Leave Log'!$D$5:$D$304,"&gt;="&amp;O$5,'Leave Log'!$F$5:$F$304,"&lt;&gt;Rejected",'Leave Log'!$B$5:$B$304,"OT")&gt;0,"OT",""))))))</f>
        <v/>
      </c>
      <c r="P22" s="12" t="str">
        <f aca="false">IF(OR(P$5="",$A22=""),"",IF(COUNTIFS('Leave Log'!$A$5:$A$304,$A22,'Leave Log'!$C$5:$C$304,"&lt;="&amp;P$5,'Leave Log'!$D$5:$D$304,"&gt;="&amp;P$5,'Leave Log'!$F$5:$F$304,"&lt;&gt;Rejected",'Leave Log'!$B$5:$B$304,"AL")&gt;0,"AL",IF(COUNTIFS('Leave Log'!$A$5:$A$304,$A22,'Leave Log'!$C$5:$C$304,"&lt;="&amp;P$5,'Leave Log'!$D$5:$D$304,"&gt;="&amp;P$5,'Leave Log'!$F$5:$F$304,"&lt;&gt;Rejected",'Leave Log'!$B$5:$B$304,"SL")&gt;0,"SL",IF(COUNTIFS('Leave Log'!$A$5:$A$304,$A22,'Leave Log'!$C$5:$C$304,"&lt;="&amp;P$5,'Leave Log'!$D$5:$D$304,"&gt;="&amp;P$5,'Leave Log'!$F$5:$F$304,"&lt;&gt;Rejected",'Leave Log'!$B$5:$B$304,"CL")&gt;0,"CL",IF(COUNTIFS('Leave Log'!$A$5:$A$304,$A22,'Leave Log'!$C$5:$C$304,"&lt;="&amp;P$5,'Leave Log'!$D$5:$D$304,"&gt;="&amp;P$5,'Leave Log'!$F$5:$F$304,"&lt;&gt;Rejected",'Leave Log'!$B$5:$B$304,"UL")&gt;0,"UL",IF(COUNTIFS('Leave Log'!$A$5:$A$304,$A22,'Leave Log'!$C$5:$C$304,"&lt;="&amp;P$5,'Leave Log'!$D$5:$D$304,"&gt;="&amp;P$5,'Leave Log'!$F$5:$F$304,"&lt;&gt;Rejected",'Leave Log'!$B$5:$B$304,"OT")&gt;0,"OT",""))))))</f>
        <v/>
      </c>
      <c r="Q22" s="12" t="str">
        <f aca="false">IF(OR(Q$5="",$A22=""),"",IF(COUNTIFS('Leave Log'!$A$5:$A$304,$A22,'Leave Log'!$C$5:$C$304,"&lt;="&amp;Q$5,'Leave Log'!$D$5:$D$304,"&gt;="&amp;Q$5,'Leave Log'!$F$5:$F$304,"&lt;&gt;Rejected",'Leave Log'!$B$5:$B$304,"AL")&gt;0,"AL",IF(COUNTIFS('Leave Log'!$A$5:$A$304,$A22,'Leave Log'!$C$5:$C$304,"&lt;="&amp;Q$5,'Leave Log'!$D$5:$D$304,"&gt;="&amp;Q$5,'Leave Log'!$F$5:$F$304,"&lt;&gt;Rejected",'Leave Log'!$B$5:$B$304,"SL")&gt;0,"SL",IF(COUNTIFS('Leave Log'!$A$5:$A$304,$A22,'Leave Log'!$C$5:$C$304,"&lt;="&amp;Q$5,'Leave Log'!$D$5:$D$304,"&gt;="&amp;Q$5,'Leave Log'!$F$5:$F$304,"&lt;&gt;Rejected",'Leave Log'!$B$5:$B$304,"CL")&gt;0,"CL",IF(COUNTIFS('Leave Log'!$A$5:$A$304,$A22,'Leave Log'!$C$5:$C$304,"&lt;="&amp;Q$5,'Leave Log'!$D$5:$D$304,"&gt;="&amp;Q$5,'Leave Log'!$F$5:$F$304,"&lt;&gt;Rejected",'Leave Log'!$B$5:$B$304,"UL")&gt;0,"UL",IF(COUNTIFS('Leave Log'!$A$5:$A$304,$A22,'Leave Log'!$C$5:$C$304,"&lt;="&amp;Q$5,'Leave Log'!$D$5:$D$304,"&gt;="&amp;Q$5,'Leave Log'!$F$5:$F$304,"&lt;&gt;Rejected",'Leave Log'!$B$5:$B$304,"OT")&gt;0,"OT",""))))))</f>
        <v/>
      </c>
      <c r="R22" s="12" t="str">
        <f aca="false">IF(OR(R$5="",$A22=""),"",IF(COUNTIFS('Leave Log'!$A$5:$A$304,$A22,'Leave Log'!$C$5:$C$304,"&lt;="&amp;R$5,'Leave Log'!$D$5:$D$304,"&gt;="&amp;R$5,'Leave Log'!$F$5:$F$304,"&lt;&gt;Rejected",'Leave Log'!$B$5:$B$304,"AL")&gt;0,"AL",IF(COUNTIFS('Leave Log'!$A$5:$A$304,$A22,'Leave Log'!$C$5:$C$304,"&lt;="&amp;R$5,'Leave Log'!$D$5:$D$304,"&gt;="&amp;R$5,'Leave Log'!$F$5:$F$304,"&lt;&gt;Rejected",'Leave Log'!$B$5:$B$304,"SL")&gt;0,"SL",IF(COUNTIFS('Leave Log'!$A$5:$A$304,$A22,'Leave Log'!$C$5:$C$304,"&lt;="&amp;R$5,'Leave Log'!$D$5:$D$304,"&gt;="&amp;R$5,'Leave Log'!$F$5:$F$304,"&lt;&gt;Rejected",'Leave Log'!$B$5:$B$304,"CL")&gt;0,"CL",IF(COUNTIFS('Leave Log'!$A$5:$A$304,$A22,'Leave Log'!$C$5:$C$304,"&lt;="&amp;R$5,'Leave Log'!$D$5:$D$304,"&gt;="&amp;R$5,'Leave Log'!$F$5:$F$304,"&lt;&gt;Rejected",'Leave Log'!$B$5:$B$304,"UL")&gt;0,"UL",IF(COUNTIFS('Leave Log'!$A$5:$A$304,$A22,'Leave Log'!$C$5:$C$304,"&lt;="&amp;R$5,'Leave Log'!$D$5:$D$304,"&gt;="&amp;R$5,'Leave Log'!$F$5:$F$304,"&lt;&gt;Rejected",'Leave Log'!$B$5:$B$304,"OT")&gt;0,"OT",""))))))</f>
        <v/>
      </c>
      <c r="S22" s="12" t="str">
        <f aca="false">IF(OR(S$5="",$A22=""),"",IF(COUNTIFS('Leave Log'!$A$5:$A$304,$A22,'Leave Log'!$C$5:$C$304,"&lt;="&amp;S$5,'Leave Log'!$D$5:$D$304,"&gt;="&amp;S$5,'Leave Log'!$F$5:$F$304,"&lt;&gt;Rejected",'Leave Log'!$B$5:$B$304,"AL")&gt;0,"AL",IF(COUNTIFS('Leave Log'!$A$5:$A$304,$A22,'Leave Log'!$C$5:$C$304,"&lt;="&amp;S$5,'Leave Log'!$D$5:$D$304,"&gt;="&amp;S$5,'Leave Log'!$F$5:$F$304,"&lt;&gt;Rejected",'Leave Log'!$B$5:$B$304,"SL")&gt;0,"SL",IF(COUNTIFS('Leave Log'!$A$5:$A$304,$A22,'Leave Log'!$C$5:$C$304,"&lt;="&amp;S$5,'Leave Log'!$D$5:$D$304,"&gt;="&amp;S$5,'Leave Log'!$F$5:$F$304,"&lt;&gt;Rejected",'Leave Log'!$B$5:$B$304,"CL")&gt;0,"CL",IF(COUNTIFS('Leave Log'!$A$5:$A$304,$A22,'Leave Log'!$C$5:$C$304,"&lt;="&amp;S$5,'Leave Log'!$D$5:$D$304,"&gt;="&amp;S$5,'Leave Log'!$F$5:$F$304,"&lt;&gt;Rejected",'Leave Log'!$B$5:$B$304,"UL")&gt;0,"UL",IF(COUNTIFS('Leave Log'!$A$5:$A$304,$A22,'Leave Log'!$C$5:$C$304,"&lt;="&amp;S$5,'Leave Log'!$D$5:$D$304,"&gt;="&amp;S$5,'Leave Log'!$F$5:$F$304,"&lt;&gt;Rejected",'Leave Log'!$B$5:$B$304,"OT")&gt;0,"OT",""))))))</f>
        <v/>
      </c>
      <c r="T22" s="12" t="str">
        <f aca="false">IF(OR(T$5="",$A22=""),"",IF(COUNTIFS('Leave Log'!$A$5:$A$304,$A22,'Leave Log'!$C$5:$C$304,"&lt;="&amp;T$5,'Leave Log'!$D$5:$D$304,"&gt;="&amp;T$5,'Leave Log'!$F$5:$F$304,"&lt;&gt;Rejected",'Leave Log'!$B$5:$B$304,"AL")&gt;0,"AL",IF(COUNTIFS('Leave Log'!$A$5:$A$304,$A22,'Leave Log'!$C$5:$C$304,"&lt;="&amp;T$5,'Leave Log'!$D$5:$D$304,"&gt;="&amp;T$5,'Leave Log'!$F$5:$F$304,"&lt;&gt;Rejected",'Leave Log'!$B$5:$B$304,"SL")&gt;0,"SL",IF(COUNTIFS('Leave Log'!$A$5:$A$304,$A22,'Leave Log'!$C$5:$C$304,"&lt;="&amp;T$5,'Leave Log'!$D$5:$D$304,"&gt;="&amp;T$5,'Leave Log'!$F$5:$F$304,"&lt;&gt;Rejected",'Leave Log'!$B$5:$B$304,"CL")&gt;0,"CL",IF(COUNTIFS('Leave Log'!$A$5:$A$304,$A22,'Leave Log'!$C$5:$C$304,"&lt;="&amp;T$5,'Leave Log'!$D$5:$D$304,"&gt;="&amp;T$5,'Leave Log'!$F$5:$F$304,"&lt;&gt;Rejected",'Leave Log'!$B$5:$B$304,"UL")&gt;0,"UL",IF(COUNTIFS('Leave Log'!$A$5:$A$304,$A22,'Leave Log'!$C$5:$C$304,"&lt;="&amp;T$5,'Leave Log'!$D$5:$D$304,"&gt;="&amp;T$5,'Leave Log'!$F$5:$F$304,"&lt;&gt;Rejected",'Leave Log'!$B$5:$B$304,"OT")&gt;0,"OT",""))))))</f>
        <v/>
      </c>
      <c r="U22" s="12" t="str">
        <f aca="false">IF(OR(U$5="",$A22=""),"",IF(COUNTIFS('Leave Log'!$A$5:$A$304,$A22,'Leave Log'!$C$5:$C$304,"&lt;="&amp;U$5,'Leave Log'!$D$5:$D$304,"&gt;="&amp;U$5,'Leave Log'!$F$5:$F$304,"&lt;&gt;Rejected",'Leave Log'!$B$5:$B$304,"AL")&gt;0,"AL",IF(COUNTIFS('Leave Log'!$A$5:$A$304,$A22,'Leave Log'!$C$5:$C$304,"&lt;="&amp;U$5,'Leave Log'!$D$5:$D$304,"&gt;="&amp;U$5,'Leave Log'!$F$5:$F$304,"&lt;&gt;Rejected",'Leave Log'!$B$5:$B$304,"SL")&gt;0,"SL",IF(COUNTIFS('Leave Log'!$A$5:$A$304,$A22,'Leave Log'!$C$5:$C$304,"&lt;="&amp;U$5,'Leave Log'!$D$5:$D$304,"&gt;="&amp;U$5,'Leave Log'!$F$5:$F$304,"&lt;&gt;Rejected",'Leave Log'!$B$5:$B$304,"CL")&gt;0,"CL",IF(COUNTIFS('Leave Log'!$A$5:$A$304,$A22,'Leave Log'!$C$5:$C$304,"&lt;="&amp;U$5,'Leave Log'!$D$5:$D$304,"&gt;="&amp;U$5,'Leave Log'!$F$5:$F$304,"&lt;&gt;Rejected",'Leave Log'!$B$5:$B$304,"UL")&gt;0,"UL",IF(COUNTIFS('Leave Log'!$A$5:$A$304,$A22,'Leave Log'!$C$5:$C$304,"&lt;="&amp;U$5,'Leave Log'!$D$5:$D$304,"&gt;="&amp;U$5,'Leave Log'!$F$5:$F$304,"&lt;&gt;Rejected",'Leave Log'!$B$5:$B$304,"OT")&gt;0,"OT",""))))))</f>
        <v/>
      </c>
      <c r="V22" s="12" t="str">
        <f aca="false">IF(OR(V$5="",$A22=""),"",IF(COUNTIFS('Leave Log'!$A$5:$A$304,$A22,'Leave Log'!$C$5:$C$304,"&lt;="&amp;V$5,'Leave Log'!$D$5:$D$304,"&gt;="&amp;V$5,'Leave Log'!$F$5:$F$304,"&lt;&gt;Rejected",'Leave Log'!$B$5:$B$304,"AL")&gt;0,"AL",IF(COUNTIFS('Leave Log'!$A$5:$A$304,$A22,'Leave Log'!$C$5:$C$304,"&lt;="&amp;V$5,'Leave Log'!$D$5:$D$304,"&gt;="&amp;V$5,'Leave Log'!$F$5:$F$304,"&lt;&gt;Rejected",'Leave Log'!$B$5:$B$304,"SL")&gt;0,"SL",IF(COUNTIFS('Leave Log'!$A$5:$A$304,$A22,'Leave Log'!$C$5:$C$304,"&lt;="&amp;V$5,'Leave Log'!$D$5:$D$304,"&gt;="&amp;V$5,'Leave Log'!$F$5:$F$304,"&lt;&gt;Rejected",'Leave Log'!$B$5:$B$304,"CL")&gt;0,"CL",IF(COUNTIFS('Leave Log'!$A$5:$A$304,$A22,'Leave Log'!$C$5:$C$304,"&lt;="&amp;V$5,'Leave Log'!$D$5:$D$304,"&gt;="&amp;V$5,'Leave Log'!$F$5:$F$304,"&lt;&gt;Rejected",'Leave Log'!$B$5:$B$304,"UL")&gt;0,"UL",IF(COUNTIFS('Leave Log'!$A$5:$A$304,$A22,'Leave Log'!$C$5:$C$304,"&lt;="&amp;V$5,'Leave Log'!$D$5:$D$304,"&gt;="&amp;V$5,'Leave Log'!$F$5:$F$304,"&lt;&gt;Rejected",'Leave Log'!$B$5:$B$304,"OT")&gt;0,"OT",""))))))</f>
        <v/>
      </c>
      <c r="W22" s="12" t="str">
        <f aca="false">IF(OR(W$5="",$A22=""),"",IF(COUNTIFS('Leave Log'!$A$5:$A$304,$A22,'Leave Log'!$C$5:$C$304,"&lt;="&amp;W$5,'Leave Log'!$D$5:$D$304,"&gt;="&amp;W$5,'Leave Log'!$F$5:$F$304,"&lt;&gt;Rejected",'Leave Log'!$B$5:$B$304,"AL")&gt;0,"AL",IF(COUNTIFS('Leave Log'!$A$5:$A$304,$A22,'Leave Log'!$C$5:$C$304,"&lt;="&amp;W$5,'Leave Log'!$D$5:$D$304,"&gt;="&amp;W$5,'Leave Log'!$F$5:$F$304,"&lt;&gt;Rejected",'Leave Log'!$B$5:$B$304,"SL")&gt;0,"SL",IF(COUNTIFS('Leave Log'!$A$5:$A$304,$A22,'Leave Log'!$C$5:$C$304,"&lt;="&amp;W$5,'Leave Log'!$D$5:$D$304,"&gt;="&amp;W$5,'Leave Log'!$F$5:$F$304,"&lt;&gt;Rejected",'Leave Log'!$B$5:$B$304,"CL")&gt;0,"CL",IF(COUNTIFS('Leave Log'!$A$5:$A$304,$A22,'Leave Log'!$C$5:$C$304,"&lt;="&amp;W$5,'Leave Log'!$D$5:$D$304,"&gt;="&amp;W$5,'Leave Log'!$F$5:$F$304,"&lt;&gt;Rejected",'Leave Log'!$B$5:$B$304,"UL")&gt;0,"UL",IF(COUNTIFS('Leave Log'!$A$5:$A$304,$A22,'Leave Log'!$C$5:$C$304,"&lt;="&amp;W$5,'Leave Log'!$D$5:$D$304,"&gt;="&amp;W$5,'Leave Log'!$F$5:$F$304,"&lt;&gt;Rejected",'Leave Log'!$B$5:$B$304,"OT")&gt;0,"OT",""))))))</f>
        <v/>
      </c>
      <c r="X22" s="12" t="str">
        <f aca="false">IF(OR(X$5="",$A22=""),"",IF(COUNTIFS('Leave Log'!$A$5:$A$304,$A22,'Leave Log'!$C$5:$C$304,"&lt;="&amp;X$5,'Leave Log'!$D$5:$D$304,"&gt;="&amp;X$5,'Leave Log'!$F$5:$F$304,"&lt;&gt;Rejected",'Leave Log'!$B$5:$B$304,"AL")&gt;0,"AL",IF(COUNTIFS('Leave Log'!$A$5:$A$304,$A22,'Leave Log'!$C$5:$C$304,"&lt;="&amp;X$5,'Leave Log'!$D$5:$D$304,"&gt;="&amp;X$5,'Leave Log'!$F$5:$F$304,"&lt;&gt;Rejected",'Leave Log'!$B$5:$B$304,"SL")&gt;0,"SL",IF(COUNTIFS('Leave Log'!$A$5:$A$304,$A22,'Leave Log'!$C$5:$C$304,"&lt;="&amp;X$5,'Leave Log'!$D$5:$D$304,"&gt;="&amp;X$5,'Leave Log'!$F$5:$F$304,"&lt;&gt;Rejected",'Leave Log'!$B$5:$B$304,"CL")&gt;0,"CL",IF(COUNTIFS('Leave Log'!$A$5:$A$304,$A22,'Leave Log'!$C$5:$C$304,"&lt;="&amp;X$5,'Leave Log'!$D$5:$D$304,"&gt;="&amp;X$5,'Leave Log'!$F$5:$F$304,"&lt;&gt;Rejected",'Leave Log'!$B$5:$B$304,"UL")&gt;0,"UL",IF(COUNTIFS('Leave Log'!$A$5:$A$304,$A22,'Leave Log'!$C$5:$C$304,"&lt;="&amp;X$5,'Leave Log'!$D$5:$D$304,"&gt;="&amp;X$5,'Leave Log'!$F$5:$F$304,"&lt;&gt;Rejected",'Leave Log'!$B$5:$B$304,"OT")&gt;0,"OT",""))))))</f>
        <v/>
      </c>
      <c r="Y22" s="12" t="str">
        <f aca="false">IF(OR(Y$5="",$A22=""),"",IF(COUNTIFS('Leave Log'!$A$5:$A$304,$A22,'Leave Log'!$C$5:$C$304,"&lt;="&amp;Y$5,'Leave Log'!$D$5:$D$304,"&gt;="&amp;Y$5,'Leave Log'!$F$5:$F$304,"&lt;&gt;Rejected",'Leave Log'!$B$5:$B$304,"AL")&gt;0,"AL",IF(COUNTIFS('Leave Log'!$A$5:$A$304,$A22,'Leave Log'!$C$5:$C$304,"&lt;="&amp;Y$5,'Leave Log'!$D$5:$D$304,"&gt;="&amp;Y$5,'Leave Log'!$F$5:$F$304,"&lt;&gt;Rejected",'Leave Log'!$B$5:$B$304,"SL")&gt;0,"SL",IF(COUNTIFS('Leave Log'!$A$5:$A$304,$A22,'Leave Log'!$C$5:$C$304,"&lt;="&amp;Y$5,'Leave Log'!$D$5:$D$304,"&gt;="&amp;Y$5,'Leave Log'!$F$5:$F$304,"&lt;&gt;Rejected",'Leave Log'!$B$5:$B$304,"CL")&gt;0,"CL",IF(COUNTIFS('Leave Log'!$A$5:$A$304,$A22,'Leave Log'!$C$5:$C$304,"&lt;="&amp;Y$5,'Leave Log'!$D$5:$D$304,"&gt;="&amp;Y$5,'Leave Log'!$F$5:$F$304,"&lt;&gt;Rejected",'Leave Log'!$B$5:$B$304,"UL")&gt;0,"UL",IF(COUNTIFS('Leave Log'!$A$5:$A$304,$A22,'Leave Log'!$C$5:$C$304,"&lt;="&amp;Y$5,'Leave Log'!$D$5:$D$304,"&gt;="&amp;Y$5,'Leave Log'!$F$5:$F$304,"&lt;&gt;Rejected",'Leave Log'!$B$5:$B$304,"OT")&gt;0,"OT",""))))))</f>
        <v/>
      </c>
      <c r="Z22" s="12" t="str">
        <f aca="false">IF(OR(Z$5="",$A22=""),"",IF(COUNTIFS('Leave Log'!$A$5:$A$304,$A22,'Leave Log'!$C$5:$C$304,"&lt;="&amp;Z$5,'Leave Log'!$D$5:$D$304,"&gt;="&amp;Z$5,'Leave Log'!$F$5:$F$304,"&lt;&gt;Rejected",'Leave Log'!$B$5:$B$304,"AL")&gt;0,"AL",IF(COUNTIFS('Leave Log'!$A$5:$A$304,$A22,'Leave Log'!$C$5:$C$304,"&lt;="&amp;Z$5,'Leave Log'!$D$5:$D$304,"&gt;="&amp;Z$5,'Leave Log'!$F$5:$F$304,"&lt;&gt;Rejected",'Leave Log'!$B$5:$B$304,"SL")&gt;0,"SL",IF(COUNTIFS('Leave Log'!$A$5:$A$304,$A22,'Leave Log'!$C$5:$C$304,"&lt;="&amp;Z$5,'Leave Log'!$D$5:$D$304,"&gt;="&amp;Z$5,'Leave Log'!$F$5:$F$304,"&lt;&gt;Rejected",'Leave Log'!$B$5:$B$304,"CL")&gt;0,"CL",IF(COUNTIFS('Leave Log'!$A$5:$A$304,$A22,'Leave Log'!$C$5:$C$304,"&lt;="&amp;Z$5,'Leave Log'!$D$5:$D$304,"&gt;="&amp;Z$5,'Leave Log'!$F$5:$F$304,"&lt;&gt;Rejected",'Leave Log'!$B$5:$B$304,"UL")&gt;0,"UL",IF(COUNTIFS('Leave Log'!$A$5:$A$304,$A22,'Leave Log'!$C$5:$C$304,"&lt;="&amp;Z$5,'Leave Log'!$D$5:$D$304,"&gt;="&amp;Z$5,'Leave Log'!$F$5:$F$304,"&lt;&gt;Rejected",'Leave Log'!$B$5:$B$304,"OT")&gt;0,"OT",""))))))</f>
        <v/>
      </c>
      <c r="AA22" s="12" t="str">
        <f aca="false">IF(OR(AA$5="",$A22=""),"",IF(COUNTIFS('Leave Log'!$A$5:$A$304,$A22,'Leave Log'!$C$5:$C$304,"&lt;="&amp;AA$5,'Leave Log'!$D$5:$D$304,"&gt;="&amp;AA$5,'Leave Log'!$F$5:$F$304,"&lt;&gt;Rejected",'Leave Log'!$B$5:$B$304,"AL")&gt;0,"AL",IF(COUNTIFS('Leave Log'!$A$5:$A$304,$A22,'Leave Log'!$C$5:$C$304,"&lt;="&amp;AA$5,'Leave Log'!$D$5:$D$304,"&gt;="&amp;AA$5,'Leave Log'!$F$5:$F$304,"&lt;&gt;Rejected",'Leave Log'!$B$5:$B$304,"SL")&gt;0,"SL",IF(COUNTIFS('Leave Log'!$A$5:$A$304,$A22,'Leave Log'!$C$5:$C$304,"&lt;="&amp;AA$5,'Leave Log'!$D$5:$D$304,"&gt;="&amp;AA$5,'Leave Log'!$F$5:$F$304,"&lt;&gt;Rejected",'Leave Log'!$B$5:$B$304,"CL")&gt;0,"CL",IF(COUNTIFS('Leave Log'!$A$5:$A$304,$A22,'Leave Log'!$C$5:$C$304,"&lt;="&amp;AA$5,'Leave Log'!$D$5:$D$304,"&gt;="&amp;AA$5,'Leave Log'!$F$5:$F$304,"&lt;&gt;Rejected",'Leave Log'!$B$5:$B$304,"UL")&gt;0,"UL",IF(COUNTIFS('Leave Log'!$A$5:$A$304,$A22,'Leave Log'!$C$5:$C$304,"&lt;="&amp;AA$5,'Leave Log'!$D$5:$D$304,"&gt;="&amp;AA$5,'Leave Log'!$F$5:$F$304,"&lt;&gt;Rejected",'Leave Log'!$B$5:$B$304,"OT")&gt;0,"OT",""))))))</f>
        <v/>
      </c>
      <c r="AB22" s="12" t="str">
        <f aca="false">IF(OR(AB$5="",$A22=""),"",IF(COUNTIFS('Leave Log'!$A$5:$A$304,$A22,'Leave Log'!$C$5:$C$304,"&lt;="&amp;AB$5,'Leave Log'!$D$5:$D$304,"&gt;="&amp;AB$5,'Leave Log'!$F$5:$F$304,"&lt;&gt;Rejected",'Leave Log'!$B$5:$B$304,"AL")&gt;0,"AL",IF(COUNTIFS('Leave Log'!$A$5:$A$304,$A22,'Leave Log'!$C$5:$C$304,"&lt;="&amp;AB$5,'Leave Log'!$D$5:$D$304,"&gt;="&amp;AB$5,'Leave Log'!$F$5:$F$304,"&lt;&gt;Rejected",'Leave Log'!$B$5:$B$304,"SL")&gt;0,"SL",IF(COUNTIFS('Leave Log'!$A$5:$A$304,$A22,'Leave Log'!$C$5:$C$304,"&lt;="&amp;AB$5,'Leave Log'!$D$5:$D$304,"&gt;="&amp;AB$5,'Leave Log'!$F$5:$F$304,"&lt;&gt;Rejected",'Leave Log'!$B$5:$B$304,"CL")&gt;0,"CL",IF(COUNTIFS('Leave Log'!$A$5:$A$304,$A22,'Leave Log'!$C$5:$C$304,"&lt;="&amp;AB$5,'Leave Log'!$D$5:$D$304,"&gt;="&amp;AB$5,'Leave Log'!$F$5:$F$304,"&lt;&gt;Rejected",'Leave Log'!$B$5:$B$304,"UL")&gt;0,"UL",IF(COUNTIFS('Leave Log'!$A$5:$A$304,$A22,'Leave Log'!$C$5:$C$304,"&lt;="&amp;AB$5,'Leave Log'!$D$5:$D$304,"&gt;="&amp;AB$5,'Leave Log'!$F$5:$F$304,"&lt;&gt;Rejected",'Leave Log'!$B$5:$B$304,"OT")&gt;0,"OT",""))))))</f>
        <v/>
      </c>
      <c r="AC22" s="12" t="str">
        <f aca="false">IF(OR(AC$5="",$A22=""),"",IF(COUNTIFS('Leave Log'!$A$5:$A$304,$A22,'Leave Log'!$C$5:$C$304,"&lt;="&amp;AC$5,'Leave Log'!$D$5:$D$304,"&gt;="&amp;AC$5,'Leave Log'!$F$5:$F$304,"&lt;&gt;Rejected",'Leave Log'!$B$5:$B$304,"AL")&gt;0,"AL",IF(COUNTIFS('Leave Log'!$A$5:$A$304,$A22,'Leave Log'!$C$5:$C$304,"&lt;="&amp;AC$5,'Leave Log'!$D$5:$D$304,"&gt;="&amp;AC$5,'Leave Log'!$F$5:$F$304,"&lt;&gt;Rejected",'Leave Log'!$B$5:$B$304,"SL")&gt;0,"SL",IF(COUNTIFS('Leave Log'!$A$5:$A$304,$A22,'Leave Log'!$C$5:$C$304,"&lt;="&amp;AC$5,'Leave Log'!$D$5:$D$304,"&gt;="&amp;AC$5,'Leave Log'!$F$5:$F$304,"&lt;&gt;Rejected",'Leave Log'!$B$5:$B$304,"CL")&gt;0,"CL",IF(COUNTIFS('Leave Log'!$A$5:$A$304,$A22,'Leave Log'!$C$5:$C$304,"&lt;="&amp;AC$5,'Leave Log'!$D$5:$D$304,"&gt;="&amp;AC$5,'Leave Log'!$F$5:$F$304,"&lt;&gt;Rejected",'Leave Log'!$B$5:$B$304,"UL")&gt;0,"UL",IF(COUNTIFS('Leave Log'!$A$5:$A$304,$A22,'Leave Log'!$C$5:$C$304,"&lt;="&amp;AC$5,'Leave Log'!$D$5:$D$304,"&gt;="&amp;AC$5,'Leave Log'!$F$5:$F$304,"&lt;&gt;Rejected",'Leave Log'!$B$5:$B$304,"OT")&gt;0,"OT",""))))))</f>
        <v/>
      </c>
      <c r="AD22" s="12" t="str">
        <f aca="false">IF(OR(AD$5="",$A22=""),"",IF(COUNTIFS('Leave Log'!$A$5:$A$304,$A22,'Leave Log'!$C$5:$C$304,"&lt;="&amp;AD$5,'Leave Log'!$D$5:$D$304,"&gt;="&amp;AD$5,'Leave Log'!$F$5:$F$304,"&lt;&gt;Rejected",'Leave Log'!$B$5:$B$304,"AL")&gt;0,"AL",IF(COUNTIFS('Leave Log'!$A$5:$A$304,$A22,'Leave Log'!$C$5:$C$304,"&lt;="&amp;AD$5,'Leave Log'!$D$5:$D$304,"&gt;="&amp;AD$5,'Leave Log'!$F$5:$F$304,"&lt;&gt;Rejected",'Leave Log'!$B$5:$B$304,"SL")&gt;0,"SL",IF(COUNTIFS('Leave Log'!$A$5:$A$304,$A22,'Leave Log'!$C$5:$C$304,"&lt;="&amp;AD$5,'Leave Log'!$D$5:$D$304,"&gt;="&amp;AD$5,'Leave Log'!$F$5:$F$304,"&lt;&gt;Rejected",'Leave Log'!$B$5:$B$304,"CL")&gt;0,"CL",IF(COUNTIFS('Leave Log'!$A$5:$A$304,$A22,'Leave Log'!$C$5:$C$304,"&lt;="&amp;AD$5,'Leave Log'!$D$5:$D$304,"&gt;="&amp;AD$5,'Leave Log'!$F$5:$F$304,"&lt;&gt;Rejected",'Leave Log'!$B$5:$B$304,"UL")&gt;0,"UL",IF(COUNTIFS('Leave Log'!$A$5:$A$304,$A22,'Leave Log'!$C$5:$C$304,"&lt;="&amp;AD$5,'Leave Log'!$D$5:$D$304,"&gt;="&amp;AD$5,'Leave Log'!$F$5:$F$304,"&lt;&gt;Rejected",'Leave Log'!$B$5:$B$304,"OT")&gt;0,"OT",""))))))</f>
        <v/>
      </c>
      <c r="AE22" s="12" t="str">
        <f aca="false">IF(OR(AE$5="",$A22=""),"",IF(COUNTIFS('Leave Log'!$A$5:$A$304,$A22,'Leave Log'!$C$5:$C$304,"&lt;="&amp;AE$5,'Leave Log'!$D$5:$D$304,"&gt;="&amp;AE$5,'Leave Log'!$F$5:$F$304,"&lt;&gt;Rejected",'Leave Log'!$B$5:$B$304,"AL")&gt;0,"AL",IF(COUNTIFS('Leave Log'!$A$5:$A$304,$A22,'Leave Log'!$C$5:$C$304,"&lt;="&amp;AE$5,'Leave Log'!$D$5:$D$304,"&gt;="&amp;AE$5,'Leave Log'!$F$5:$F$304,"&lt;&gt;Rejected",'Leave Log'!$B$5:$B$304,"SL")&gt;0,"SL",IF(COUNTIFS('Leave Log'!$A$5:$A$304,$A22,'Leave Log'!$C$5:$C$304,"&lt;="&amp;AE$5,'Leave Log'!$D$5:$D$304,"&gt;="&amp;AE$5,'Leave Log'!$F$5:$F$304,"&lt;&gt;Rejected",'Leave Log'!$B$5:$B$304,"CL")&gt;0,"CL",IF(COUNTIFS('Leave Log'!$A$5:$A$304,$A22,'Leave Log'!$C$5:$C$304,"&lt;="&amp;AE$5,'Leave Log'!$D$5:$D$304,"&gt;="&amp;AE$5,'Leave Log'!$F$5:$F$304,"&lt;&gt;Rejected",'Leave Log'!$B$5:$B$304,"UL")&gt;0,"UL",IF(COUNTIFS('Leave Log'!$A$5:$A$304,$A22,'Leave Log'!$C$5:$C$304,"&lt;="&amp;AE$5,'Leave Log'!$D$5:$D$304,"&gt;="&amp;AE$5,'Leave Log'!$F$5:$F$304,"&lt;&gt;Rejected",'Leave Log'!$B$5:$B$304,"OT")&gt;0,"OT",""))))))</f>
        <v/>
      </c>
      <c r="AF22" s="12" t="str">
        <f aca="false">IF(OR(AF$5="",$A22=""),"",IF(COUNTIFS('Leave Log'!$A$5:$A$304,$A22,'Leave Log'!$C$5:$C$304,"&lt;="&amp;AF$5,'Leave Log'!$D$5:$D$304,"&gt;="&amp;AF$5,'Leave Log'!$F$5:$F$304,"&lt;&gt;Rejected",'Leave Log'!$B$5:$B$304,"AL")&gt;0,"AL",IF(COUNTIFS('Leave Log'!$A$5:$A$304,$A22,'Leave Log'!$C$5:$C$304,"&lt;="&amp;AF$5,'Leave Log'!$D$5:$D$304,"&gt;="&amp;AF$5,'Leave Log'!$F$5:$F$304,"&lt;&gt;Rejected",'Leave Log'!$B$5:$B$304,"SL")&gt;0,"SL",IF(COUNTIFS('Leave Log'!$A$5:$A$304,$A22,'Leave Log'!$C$5:$C$304,"&lt;="&amp;AF$5,'Leave Log'!$D$5:$D$304,"&gt;="&amp;AF$5,'Leave Log'!$F$5:$F$304,"&lt;&gt;Rejected",'Leave Log'!$B$5:$B$304,"CL")&gt;0,"CL",IF(COUNTIFS('Leave Log'!$A$5:$A$304,$A22,'Leave Log'!$C$5:$C$304,"&lt;="&amp;AF$5,'Leave Log'!$D$5:$D$304,"&gt;="&amp;AF$5,'Leave Log'!$F$5:$F$304,"&lt;&gt;Rejected",'Leave Log'!$B$5:$B$304,"UL")&gt;0,"UL",IF(COUNTIFS('Leave Log'!$A$5:$A$304,$A22,'Leave Log'!$C$5:$C$304,"&lt;="&amp;AF$5,'Leave Log'!$D$5:$D$304,"&gt;="&amp;AF$5,'Leave Log'!$F$5:$F$304,"&lt;&gt;Rejected",'Leave Log'!$B$5:$B$304,"OT")&gt;0,"OT",""))))))</f>
        <v/>
      </c>
      <c r="AG22" s="12" t="str">
        <f aca="false">IF(OR(AG$5="",$A22=""),"",IF(COUNTIFS('Leave Log'!$A$5:$A$304,$A22,'Leave Log'!$C$5:$C$304,"&lt;="&amp;AG$5,'Leave Log'!$D$5:$D$304,"&gt;="&amp;AG$5,'Leave Log'!$F$5:$F$304,"&lt;&gt;Rejected",'Leave Log'!$B$5:$B$304,"AL")&gt;0,"AL",IF(COUNTIFS('Leave Log'!$A$5:$A$304,$A22,'Leave Log'!$C$5:$C$304,"&lt;="&amp;AG$5,'Leave Log'!$D$5:$D$304,"&gt;="&amp;AG$5,'Leave Log'!$F$5:$F$304,"&lt;&gt;Rejected",'Leave Log'!$B$5:$B$304,"SL")&gt;0,"SL",IF(COUNTIFS('Leave Log'!$A$5:$A$304,$A22,'Leave Log'!$C$5:$C$304,"&lt;="&amp;AG$5,'Leave Log'!$D$5:$D$304,"&gt;="&amp;AG$5,'Leave Log'!$F$5:$F$304,"&lt;&gt;Rejected",'Leave Log'!$B$5:$B$304,"CL")&gt;0,"CL",IF(COUNTIFS('Leave Log'!$A$5:$A$304,$A22,'Leave Log'!$C$5:$C$304,"&lt;="&amp;AG$5,'Leave Log'!$D$5:$D$304,"&gt;="&amp;AG$5,'Leave Log'!$F$5:$F$304,"&lt;&gt;Rejected",'Leave Log'!$B$5:$B$304,"UL")&gt;0,"UL",IF(COUNTIFS('Leave Log'!$A$5:$A$304,$A22,'Leave Log'!$C$5:$C$304,"&lt;="&amp;AG$5,'Leave Log'!$D$5:$D$304,"&gt;="&amp;AG$5,'Leave Log'!$F$5:$F$304,"&lt;&gt;Rejected",'Leave Log'!$B$5:$B$304,"OT")&gt;0,"OT",""))))))</f>
        <v/>
      </c>
    </row>
    <row r="23" customFormat="false" ht="15" hidden="false" customHeight="false" outlineLevel="0" collapsed="false">
      <c r="A23" s="3" t="str">
        <f aca="false">IF(Employees!B22="","",Employees!B22)</f>
        <v/>
      </c>
      <c r="B23" s="11" t="str">
        <f aca="false">IF(Employees!B22="","",Employees!C22)</f>
        <v/>
      </c>
      <c r="C23" s="12" t="str">
        <f aca="false">IF(OR(C$5="",$A23=""),"",IF(COUNTIFS('Leave Log'!$A$5:$A$304,$A23,'Leave Log'!$C$5:$C$304,"&lt;="&amp;C$5,'Leave Log'!$D$5:$D$304,"&gt;="&amp;C$5,'Leave Log'!$F$5:$F$304,"&lt;&gt;Rejected",'Leave Log'!$B$5:$B$304,"AL")&gt;0,"AL",IF(COUNTIFS('Leave Log'!$A$5:$A$304,$A23,'Leave Log'!$C$5:$C$304,"&lt;="&amp;C$5,'Leave Log'!$D$5:$D$304,"&gt;="&amp;C$5,'Leave Log'!$F$5:$F$304,"&lt;&gt;Rejected",'Leave Log'!$B$5:$B$304,"SL")&gt;0,"SL",IF(COUNTIFS('Leave Log'!$A$5:$A$304,$A23,'Leave Log'!$C$5:$C$304,"&lt;="&amp;C$5,'Leave Log'!$D$5:$D$304,"&gt;="&amp;C$5,'Leave Log'!$F$5:$F$304,"&lt;&gt;Rejected",'Leave Log'!$B$5:$B$304,"CL")&gt;0,"CL",IF(COUNTIFS('Leave Log'!$A$5:$A$304,$A23,'Leave Log'!$C$5:$C$304,"&lt;="&amp;C$5,'Leave Log'!$D$5:$D$304,"&gt;="&amp;C$5,'Leave Log'!$F$5:$F$304,"&lt;&gt;Rejected",'Leave Log'!$B$5:$B$304,"UL")&gt;0,"UL",IF(COUNTIFS('Leave Log'!$A$5:$A$304,$A23,'Leave Log'!$C$5:$C$304,"&lt;="&amp;C$5,'Leave Log'!$D$5:$D$304,"&gt;="&amp;C$5,'Leave Log'!$F$5:$F$304,"&lt;&gt;Rejected",'Leave Log'!$B$5:$B$304,"OT")&gt;0,"OT",""))))))</f>
        <v/>
      </c>
      <c r="D23" s="12" t="str">
        <f aca="false">IF(OR(D$5="",$A23=""),"",IF(COUNTIFS('Leave Log'!$A$5:$A$304,$A23,'Leave Log'!$C$5:$C$304,"&lt;="&amp;D$5,'Leave Log'!$D$5:$D$304,"&gt;="&amp;D$5,'Leave Log'!$F$5:$F$304,"&lt;&gt;Rejected",'Leave Log'!$B$5:$B$304,"AL")&gt;0,"AL",IF(COUNTIFS('Leave Log'!$A$5:$A$304,$A23,'Leave Log'!$C$5:$C$304,"&lt;="&amp;D$5,'Leave Log'!$D$5:$D$304,"&gt;="&amp;D$5,'Leave Log'!$F$5:$F$304,"&lt;&gt;Rejected",'Leave Log'!$B$5:$B$304,"SL")&gt;0,"SL",IF(COUNTIFS('Leave Log'!$A$5:$A$304,$A23,'Leave Log'!$C$5:$C$304,"&lt;="&amp;D$5,'Leave Log'!$D$5:$D$304,"&gt;="&amp;D$5,'Leave Log'!$F$5:$F$304,"&lt;&gt;Rejected",'Leave Log'!$B$5:$B$304,"CL")&gt;0,"CL",IF(COUNTIFS('Leave Log'!$A$5:$A$304,$A23,'Leave Log'!$C$5:$C$304,"&lt;="&amp;D$5,'Leave Log'!$D$5:$D$304,"&gt;="&amp;D$5,'Leave Log'!$F$5:$F$304,"&lt;&gt;Rejected",'Leave Log'!$B$5:$B$304,"UL")&gt;0,"UL",IF(COUNTIFS('Leave Log'!$A$5:$A$304,$A23,'Leave Log'!$C$5:$C$304,"&lt;="&amp;D$5,'Leave Log'!$D$5:$D$304,"&gt;="&amp;D$5,'Leave Log'!$F$5:$F$304,"&lt;&gt;Rejected",'Leave Log'!$B$5:$B$304,"OT")&gt;0,"OT",""))))))</f>
        <v/>
      </c>
      <c r="E23" s="12" t="str">
        <f aca="false">IF(OR(E$5="",$A23=""),"",IF(COUNTIFS('Leave Log'!$A$5:$A$304,$A23,'Leave Log'!$C$5:$C$304,"&lt;="&amp;E$5,'Leave Log'!$D$5:$D$304,"&gt;="&amp;E$5,'Leave Log'!$F$5:$F$304,"&lt;&gt;Rejected",'Leave Log'!$B$5:$B$304,"AL")&gt;0,"AL",IF(COUNTIFS('Leave Log'!$A$5:$A$304,$A23,'Leave Log'!$C$5:$C$304,"&lt;="&amp;E$5,'Leave Log'!$D$5:$D$304,"&gt;="&amp;E$5,'Leave Log'!$F$5:$F$304,"&lt;&gt;Rejected",'Leave Log'!$B$5:$B$304,"SL")&gt;0,"SL",IF(COUNTIFS('Leave Log'!$A$5:$A$304,$A23,'Leave Log'!$C$5:$C$304,"&lt;="&amp;E$5,'Leave Log'!$D$5:$D$304,"&gt;="&amp;E$5,'Leave Log'!$F$5:$F$304,"&lt;&gt;Rejected",'Leave Log'!$B$5:$B$304,"CL")&gt;0,"CL",IF(COUNTIFS('Leave Log'!$A$5:$A$304,$A23,'Leave Log'!$C$5:$C$304,"&lt;="&amp;E$5,'Leave Log'!$D$5:$D$304,"&gt;="&amp;E$5,'Leave Log'!$F$5:$F$304,"&lt;&gt;Rejected",'Leave Log'!$B$5:$B$304,"UL")&gt;0,"UL",IF(COUNTIFS('Leave Log'!$A$5:$A$304,$A23,'Leave Log'!$C$5:$C$304,"&lt;="&amp;E$5,'Leave Log'!$D$5:$D$304,"&gt;="&amp;E$5,'Leave Log'!$F$5:$F$304,"&lt;&gt;Rejected",'Leave Log'!$B$5:$B$304,"OT")&gt;0,"OT",""))))))</f>
        <v/>
      </c>
      <c r="F23" s="12" t="str">
        <f aca="false">IF(OR(F$5="",$A23=""),"",IF(COUNTIFS('Leave Log'!$A$5:$A$304,$A23,'Leave Log'!$C$5:$C$304,"&lt;="&amp;F$5,'Leave Log'!$D$5:$D$304,"&gt;="&amp;F$5,'Leave Log'!$F$5:$F$304,"&lt;&gt;Rejected",'Leave Log'!$B$5:$B$304,"AL")&gt;0,"AL",IF(COUNTIFS('Leave Log'!$A$5:$A$304,$A23,'Leave Log'!$C$5:$C$304,"&lt;="&amp;F$5,'Leave Log'!$D$5:$D$304,"&gt;="&amp;F$5,'Leave Log'!$F$5:$F$304,"&lt;&gt;Rejected",'Leave Log'!$B$5:$B$304,"SL")&gt;0,"SL",IF(COUNTIFS('Leave Log'!$A$5:$A$304,$A23,'Leave Log'!$C$5:$C$304,"&lt;="&amp;F$5,'Leave Log'!$D$5:$D$304,"&gt;="&amp;F$5,'Leave Log'!$F$5:$F$304,"&lt;&gt;Rejected",'Leave Log'!$B$5:$B$304,"CL")&gt;0,"CL",IF(COUNTIFS('Leave Log'!$A$5:$A$304,$A23,'Leave Log'!$C$5:$C$304,"&lt;="&amp;F$5,'Leave Log'!$D$5:$D$304,"&gt;="&amp;F$5,'Leave Log'!$F$5:$F$304,"&lt;&gt;Rejected",'Leave Log'!$B$5:$B$304,"UL")&gt;0,"UL",IF(COUNTIFS('Leave Log'!$A$5:$A$304,$A23,'Leave Log'!$C$5:$C$304,"&lt;="&amp;F$5,'Leave Log'!$D$5:$D$304,"&gt;="&amp;F$5,'Leave Log'!$F$5:$F$304,"&lt;&gt;Rejected",'Leave Log'!$B$5:$B$304,"OT")&gt;0,"OT",""))))))</f>
        <v/>
      </c>
      <c r="G23" s="12" t="str">
        <f aca="false">IF(OR(G$5="",$A23=""),"",IF(COUNTIFS('Leave Log'!$A$5:$A$304,$A23,'Leave Log'!$C$5:$C$304,"&lt;="&amp;G$5,'Leave Log'!$D$5:$D$304,"&gt;="&amp;G$5,'Leave Log'!$F$5:$F$304,"&lt;&gt;Rejected",'Leave Log'!$B$5:$B$304,"AL")&gt;0,"AL",IF(COUNTIFS('Leave Log'!$A$5:$A$304,$A23,'Leave Log'!$C$5:$C$304,"&lt;="&amp;G$5,'Leave Log'!$D$5:$D$304,"&gt;="&amp;G$5,'Leave Log'!$F$5:$F$304,"&lt;&gt;Rejected",'Leave Log'!$B$5:$B$304,"SL")&gt;0,"SL",IF(COUNTIFS('Leave Log'!$A$5:$A$304,$A23,'Leave Log'!$C$5:$C$304,"&lt;="&amp;G$5,'Leave Log'!$D$5:$D$304,"&gt;="&amp;G$5,'Leave Log'!$F$5:$F$304,"&lt;&gt;Rejected",'Leave Log'!$B$5:$B$304,"CL")&gt;0,"CL",IF(COUNTIFS('Leave Log'!$A$5:$A$304,$A23,'Leave Log'!$C$5:$C$304,"&lt;="&amp;G$5,'Leave Log'!$D$5:$D$304,"&gt;="&amp;G$5,'Leave Log'!$F$5:$F$304,"&lt;&gt;Rejected",'Leave Log'!$B$5:$B$304,"UL")&gt;0,"UL",IF(COUNTIFS('Leave Log'!$A$5:$A$304,$A23,'Leave Log'!$C$5:$C$304,"&lt;="&amp;G$5,'Leave Log'!$D$5:$D$304,"&gt;="&amp;G$5,'Leave Log'!$F$5:$F$304,"&lt;&gt;Rejected",'Leave Log'!$B$5:$B$304,"OT")&gt;0,"OT",""))))))</f>
        <v/>
      </c>
      <c r="H23" s="12" t="str">
        <f aca="false">IF(OR(H$5="",$A23=""),"",IF(COUNTIFS('Leave Log'!$A$5:$A$304,$A23,'Leave Log'!$C$5:$C$304,"&lt;="&amp;H$5,'Leave Log'!$D$5:$D$304,"&gt;="&amp;H$5,'Leave Log'!$F$5:$F$304,"&lt;&gt;Rejected",'Leave Log'!$B$5:$B$304,"AL")&gt;0,"AL",IF(COUNTIFS('Leave Log'!$A$5:$A$304,$A23,'Leave Log'!$C$5:$C$304,"&lt;="&amp;H$5,'Leave Log'!$D$5:$D$304,"&gt;="&amp;H$5,'Leave Log'!$F$5:$F$304,"&lt;&gt;Rejected",'Leave Log'!$B$5:$B$304,"SL")&gt;0,"SL",IF(COUNTIFS('Leave Log'!$A$5:$A$304,$A23,'Leave Log'!$C$5:$C$304,"&lt;="&amp;H$5,'Leave Log'!$D$5:$D$304,"&gt;="&amp;H$5,'Leave Log'!$F$5:$F$304,"&lt;&gt;Rejected",'Leave Log'!$B$5:$B$304,"CL")&gt;0,"CL",IF(COUNTIFS('Leave Log'!$A$5:$A$304,$A23,'Leave Log'!$C$5:$C$304,"&lt;="&amp;H$5,'Leave Log'!$D$5:$D$304,"&gt;="&amp;H$5,'Leave Log'!$F$5:$F$304,"&lt;&gt;Rejected",'Leave Log'!$B$5:$B$304,"UL")&gt;0,"UL",IF(COUNTIFS('Leave Log'!$A$5:$A$304,$A23,'Leave Log'!$C$5:$C$304,"&lt;="&amp;H$5,'Leave Log'!$D$5:$D$304,"&gt;="&amp;H$5,'Leave Log'!$F$5:$F$304,"&lt;&gt;Rejected",'Leave Log'!$B$5:$B$304,"OT")&gt;0,"OT",""))))))</f>
        <v/>
      </c>
      <c r="I23" s="12" t="str">
        <f aca="false">IF(OR(I$5="",$A23=""),"",IF(COUNTIFS('Leave Log'!$A$5:$A$304,$A23,'Leave Log'!$C$5:$C$304,"&lt;="&amp;I$5,'Leave Log'!$D$5:$D$304,"&gt;="&amp;I$5,'Leave Log'!$F$5:$F$304,"&lt;&gt;Rejected",'Leave Log'!$B$5:$B$304,"AL")&gt;0,"AL",IF(COUNTIFS('Leave Log'!$A$5:$A$304,$A23,'Leave Log'!$C$5:$C$304,"&lt;="&amp;I$5,'Leave Log'!$D$5:$D$304,"&gt;="&amp;I$5,'Leave Log'!$F$5:$F$304,"&lt;&gt;Rejected",'Leave Log'!$B$5:$B$304,"SL")&gt;0,"SL",IF(COUNTIFS('Leave Log'!$A$5:$A$304,$A23,'Leave Log'!$C$5:$C$304,"&lt;="&amp;I$5,'Leave Log'!$D$5:$D$304,"&gt;="&amp;I$5,'Leave Log'!$F$5:$F$304,"&lt;&gt;Rejected",'Leave Log'!$B$5:$B$304,"CL")&gt;0,"CL",IF(COUNTIFS('Leave Log'!$A$5:$A$304,$A23,'Leave Log'!$C$5:$C$304,"&lt;="&amp;I$5,'Leave Log'!$D$5:$D$304,"&gt;="&amp;I$5,'Leave Log'!$F$5:$F$304,"&lt;&gt;Rejected",'Leave Log'!$B$5:$B$304,"UL")&gt;0,"UL",IF(COUNTIFS('Leave Log'!$A$5:$A$304,$A23,'Leave Log'!$C$5:$C$304,"&lt;="&amp;I$5,'Leave Log'!$D$5:$D$304,"&gt;="&amp;I$5,'Leave Log'!$F$5:$F$304,"&lt;&gt;Rejected",'Leave Log'!$B$5:$B$304,"OT")&gt;0,"OT",""))))))</f>
        <v/>
      </c>
      <c r="J23" s="12" t="str">
        <f aca="false">IF(OR(J$5="",$A23=""),"",IF(COUNTIFS('Leave Log'!$A$5:$A$304,$A23,'Leave Log'!$C$5:$C$304,"&lt;="&amp;J$5,'Leave Log'!$D$5:$D$304,"&gt;="&amp;J$5,'Leave Log'!$F$5:$F$304,"&lt;&gt;Rejected",'Leave Log'!$B$5:$B$304,"AL")&gt;0,"AL",IF(COUNTIFS('Leave Log'!$A$5:$A$304,$A23,'Leave Log'!$C$5:$C$304,"&lt;="&amp;J$5,'Leave Log'!$D$5:$D$304,"&gt;="&amp;J$5,'Leave Log'!$F$5:$F$304,"&lt;&gt;Rejected",'Leave Log'!$B$5:$B$304,"SL")&gt;0,"SL",IF(COUNTIFS('Leave Log'!$A$5:$A$304,$A23,'Leave Log'!$C$5:$C$304,"&lt;="&amp;J$5,'Leave Log'!$D$5:$D$304,"&gt;="&amp;J$5,'Leave Log'!$F$5:$F$304,"&lt;&gt;Rejected",'Leave Log'!$B$5:$B$304,"CL")&gt;0,"CL",IF(COUNTIFS('Leave Log'!$A$5:$A$304,$A23,'Leave Log'!$C$5:$C$304,"&lt;="&amp;J$5,'Leave Log'!$D$5:$D$304,"&gt;="&amp;J$5,'Leave Log'!$F$5:$F$304,"&lt;&gt;Rejected",'Leave Log'!$B$5:$B$304,"UL")&gt;0,"UL",IF(COUNTIFS('Leave Log'!$A$5:$A$304,$A23,'Leave Log'!$C$5:$C$304,"&lt;="&amp;J$5,'Leave Log'!$D$5:$D$304,"&gt;="&amp;J$5,'Leave Log'!$F$5:$F$304,"&lt;&gt;Rejected",'Leave Log'!$B$5:$B$304,"OT")&gt;0,"OT",""))))))</f>
        <v/>
      </c>
      <c r="K23" s="12" t="str">
        <f aca="false">IF(OR(K$5="",$A23=""),"",IF(COUNTIFS('Leave Log'!$A$5:$A$304,$A23,'Leave Log'!$C$5:$C$304,"&lt;="&amp;K$5,'Leave Log'!$D$5:$D$304,"&gt;="&amp;K$5,'Leave Log'!$F$5:$F$304,"&lt;&gt;Rejected",'Leave Log'!$B$5:$B$304,"AL")&gt;0,"AL",IF(COUNTIFS('Leave Log'!$A$5:$A$304,$A23,'Leave Log'!$C$5:$C$304,"&lt;="&amp;K$5,'Leave Log'!$D$5:$D$304,"&gt;="&amp;K$5,'Leave Log'!$F$5:$F$304,"&lt;&gt;Rejected",'Leave Log'!$B$5:$B$304,"SL")&gt;0,"SL",IF(COUNTIFS('Leave Log'!$A$5:$A$304,$A23,'Leave Log'!$C$5:$C$304,"&lt;="&amp;K$5,'Leave Log'!$D$5:$D$304,"&gt;="&amp;K$5,'Leave Log'!$F$5:$F$304,"&lt;&gt;Rejected",'Leave Log'!$B$5:$B$304,"CL")&gt;0,"CL",IF(COUNTIFS('Leave Log'!$A$5:$A$304,$A23,'Leave Log'!$C$5:$C$304,"&lt;="&amp;K$5,'Leave Log'!$D$5:$D$304,"&gt;="&amp;K$5,'Leave Log'!$F$5:$F$304,"&lt;&gt;Rejected",'Leave Log'!$B$5:$B$304,"UL")&gt;0,"UL",IF(COUNTIFS('Leave Log'!$A$5:$A$304,$A23,'Leave Log'!$C$5:$C$304,"&lt;="&amp;K$5,'Leave Log'!$D$5:$D$304,"&gt;="&amp;K$5,'Leave Log'!$F$5:$F$304,"&lt;&gt;Rejected",'Leave Log'!$B$5:$B$304,"OT")&gt;0,"OT",""))))))</f>
        <v/>
      </c>
      <c r="L23" s="12" t="str">
        <f aca="false">IF(OR(L$5="",$A23=""),"",IF(COUNTIFS('Leave Log'!$A$5:$A$304,$A23,'Leave Log'!$C$5:$C$304,"&lt;="&amp;L$5,'Leave Log'!$D$5:$D$304,"&gt;="&amp;L$5,'Leave Log'!$F$5:$F$304,"&lt;&gt;Rejected",'Leave Log'!$B$5:$B$304,"AL")&gt;0,"AL",IF(COUNTIFS('Leave Log'!$A$5:$A$304,$A23,'Leave Log'!$C$5:$C$304,"&lt;="&amp;L$5,'Leave Log'!$D$5:$D$304,"&gt;="&amp;L$5,'Leave Log'!$F$5:$F$304,"&lt;&gt;Rejected",'Leave Log'!$B$5:$B$304,"SL")&gt;0,"SL",IF(COUNTIFS('Leave Log'!$A$5:$A$304,$A23,'Leave Log'!$C$5:$C$304,"&lt;="&amp;L$5,'Leave Log'!$D$5:$D$304,"&gt;="&amp;L$5,'Leave Log'!$F$5:$F$304,"&lt;&gt;Rejected",'Leave Log'!$B$5:$B$304,"CL")&gt;0,"CL",IF(COUNTIFS('Leave Log'!$A$5:$A$304,$A23,'Leave Log'!$C$5:$C$304,"&lt;="&amp;L$5,'Leave Log'!$D$5:$D$304,"&gt;="&amp;L$5,'Leave Log'!$F$5:$F$304,"&lt;&gt;Rejected",'Leave Log'!$B$5:$B$304,"UL")&gt;0,"UL",IF(COUNTIFS('Leave Log'!$A$5:$A$304,$A23,'Leave Log'!$C$5:$C$304,"&lt;="&amp;L$5,'Leave Log'!$D$5:$D$304,"&gt;="&amp;L$5,'Leave Log'!$F$5:$F$304,"&lt;&gt;Rejected",'Leave Log'!$B$5:$B$304,"OT")&gt;0,"OT",""))))))</f>
        <v/>
      </c>
      <c r="M23" s="12" t="str">
        <f aca="false">IF(OR(M$5="",$A23=""),"",IF(COUNTIFS('Leave Log'!$A$5:$A$304,$A23,'Leave Log'!$C$5:$C$304,"&lt;="&amp;M$5,'Leave Log'!$D$5:$D$304,"&gt;="&amp;M$5,'Leave Log'!$F$5:$F$304,"&lt;&gt;Rejected",'Leave Log'!$B$5:$B$304,"AL")&gt;0,"AL",IF(COUNTIFS('Leave Log'!$A$5:$A$304,$A23,'Leave Log'!$C$5:$C$304,"&lt;="&amp;M$5,'Leave Log'!$D$5:$D$304,"&gt;="&amp;M$5,'Leave Log'!$F$5:$F$304,"&lt;&gt;Rejected",'Leave Log'!$B$5:$B$304,"SL")&gt;0,"SL",IF(COUNTIFS('Leave Log'!$A$5:$A$304,$A23,'Leave Log'!$C$5:$C$304,"&lt;="&amp;M$5,'Leave Log'!$D$5:$D$304,"&gt;="&amp;M$5,'Leave Log'!$F$5:$F$304,"&lt;&gt;Rejected",'Leave Log'!$B$5:$B$304,"CL")&gt;0,"CL",IF(COUNTIFS('Leave Log'!$A$5:$A$304,$A23,'Leave Log'!$C$5:$C$304,"&lt;="&amp;M$5,'Leave Log'!$D$5:$D$304,"&gt;="&amp;M$5,'Leave Log'!$F$5:$F$304,"&lt;&gt;Rejected",'Leave Log'!$B$5:$B$304,"UL")&gt;0,"UL",IF(COUNTIFS('Leave Log'!$A$5:$A$304,$A23,'Leave Log'!$C$5:$C$304,"&lt;="&amp;M$5,'Leave Log'!$D$5:$D$304,"&gt;="&amp;M$5,'Leave Log'!$F$5:$F$304,"&lt;&gt;Rejected",'Leave Log'!$B$5:$B$304,"OT")&gt;0,"OT",""))))))</f>
        <v/>
      </c>
      <c r="N23" s="12" t="str">
        <f aca="false">IF(OR(N$5="",$A23=""),"",IF(COUNTIFS('Leave Log'!$A$5:$A$304,$A23,'Leave Log'!$C$5:$C$304,"&lt;="&amp;N$5,'Leave Log'!$D$5:$D$304,"&gt;="&amp;N$5,'Leave Log'!$F$5:$F$304,"&lt;&gt;Rejected",'Leave Log'!$B$5:$B$304,"AL")&gt;0,"AL",IF(COUNTIFS('Leave Log'!$A$5:$A$304,$A23,'Leave Log'!$C$5:$C$304,"&lt;="&amp;N$5,'Leave Log'!$D$5:$D$304,"&gt;="&amp;N$5,'Leave Log'!$F$5:$F$304,"&lt;&gt;Rejected",'Leave Log'!$B$5:$B$304,"SL")&gt;0,"SL",IF(COUNTIFS('Leave Log'!$A$5:$A$304,$A23,'Leave Log'!$C$5:$C$304,"&lt;="&amp;N$5,'Leave Log'!$D$5:$D$304,"&gt;="&amp;N$5,'Leave Log'!$F$5:$F$304,"&lt;&gt;Rejected",'Leave Log'!$B$5:$B$304,"CL")&gt;0,"CL",IF(COUNTIFS('Leave Log'!$A$5:$A$304,$A23,'Leave Log'!$C$5:$C$304,"&lt;="&amp;N$5,'Leave Log'!$D$5:$D$304,"&gt;="&amp;N$5,'Leave Log'!$F$5:$F$304,"&lt;&gt;Rejected",'Leave Log'!$B$5:$B$304,"UL")&gt;0,"UL",IF(COUNTIFS('Leave Log'!$A$5:$A$304,$A23,'Leave Log'!$C$5:$C$304,"&lt;="&amp;N$5,'Leave Log'!$D$5:$D$304,"&gt;="&amp;N$5,'Leave Log'!$F$5:$F$304,"&lt;&gt;Rejected",'Leave Log'!$B$5:$B$304,"OT")&gt;0,"OT",""))))))</f>
        <v/>
      </c>
      <c r="O23" s="12" t="str">
        <f aca="false">IF(OR(O$5="",$A23=""),"",IF(COUNTIFS('Leave Log'!$A$5:$A$304,$A23,'Leave Log'!$C$5:$C$304,"&lt;="&amp;O$5,'Leave Log'!$D$5:$D$304,"&gt;="&amp;O$5,'Leave Log'!$F$5:$F$304,"&lt;&gt;Rejected",'Leave Log'!$B$5:$B$304,"AL")&gt;0,"AL",IF(COUNTIFS('Leave Log'!$A$5:$A$304,$A23,'Leave Log'!$C$5:$C$304,"&lt;="&amp;O$5,'Leave Log'!$D$5:$D$304,"&gt;="&amp;O$5,'Leave Log'!$F$5:$F$304,"&lt;&gt;Rejected",'Leave Log'!$B$5:$B$304,"SL")&gt;0,"SL",IF(COUNTIFS('Leave Log'!$A$5:$A$304,$A23,'Leave Log'!$C$5:$C$304,"&lt;="&amp;O$5,'Leave Log'!$D$5:$D$304,"&gt;="&amp;O$5,'Leave Log'!$F$5:$F$304,"&lt;&gt;Rejected",'Leave Log'!$B$5:$B$304,"CL")&gt;0,"CL",IF(COUNTIFS('Leave Log'!$A$5:$A$304,$A23,'Leave Log'!$C$5:$C$304,"&lt;="&amp;O$5,'Leave Log'!$D$5:$D$304,"&gt;="&amp;O$5,'Leave Log'!$F$5:$F$304,"&lt;&gt;Rejected",'Leave Log'!$B$5:$B$304,"UL")&gt;0,"UL",IF(COUNTIFS('Leave Log'!$A$5:$A$304,$A23,'Leave Log'!$C$5:$C$304,"&lt;="&amp;O$5,'Leave Log'!$D$5:$D$304,"&gt;="&amp;O$5,'Leave Log'!$F$5:$F$304,"&lt;&gt;Rejected",'Leave Log'!$B$5:$B$304,"OT")&gt;0,"OT",""))))))</f>
        <v/>
      </c>
      <c r="P23" s="12" t="str">
        <f aca="false">IF(OR(P$5="",$A23=""),"",IF(COUNTIFS('Leave Log'!$A$5:$A$304,$A23,'Leave Log'!$C$5:$C$304,"&lt;="&amp;P$5,'Leave Log'!$D$5:$D$304,"&gt;="&amp;P$5,'Leave Log'!$F$5:$F$304,"&lt;&gt;Rejected",'Leave Log'!$B$5:$B$304,"AL")&gt;0,"AL",IF(COUNTIFS('Leave Log'!$A$5:$A$304,$A23,'Leave Log'!$C$5:$C$304,"&lt;="&amp;P$5,'Leave Log'!$D$5:$D$304,"&gt;="&amp;P$5,'Leave Log'!$F$5:$F$304,"&lt;&gt;Rejected",'Leave Log'!$B$5:$B$304,"SL")&gt;0,"SL",IF(COUNTIFS('Leave Log'!$A$5:$A$304,$A23,'Leave Log'!$C$5:$C$304,"&lt;="&amp;P$5,'Leave Log'!$D$5:$D$304,"&gt;="&amp;P$5,'Leave Log'!$F$5:$F$304,"&lt;&gt;Rejected",'Leave Log'!$B$5:$B$304,"CL")&gt;0,"CL",IF(COUNTIFS('Leave Log'!$A$5:$A$304,$A23,'Leave Log'!$C$5:$C$304,"&lt;="&amp;P$5,'Leave Log'!$D$5:$D$304,"&gt;="&amp;P$5,'Leave Log'!$F$5:$F$304,"&lt;&gt;Rejected",'Leave Log'!$B$5:$B$304,"UL")&gt;0,"UL",IF(COUNTIFS('Leave Log'!$A$5:$A$304,$A23,'Leave Log'!$C$5:$C$304,"&lt;="&amp;P$5,'Leave Log'!$D$5:$D$304,"&gt;="&amp;P$5,'Leave Log'!$F$5:$F$304,"&lt;&gt;Rejected",'Leave Log'!$B$5:$B$304,"OT")&gt;0,"OT",""))))))</f>
        <v/>
      </c>
      <c r="Q23" s="12" t="str">
        <f aca="false">IF(OR(Q$5="",$A23=""),"",IF(COUNTIFS('Leave Log'!$A$5:$A$304,$A23,'Leave Log'!$C$5:$C$304,"&lt;="&amp;Q$5,'Leave Log'!$D$5:$D$304,"&gt;="&amp;Q$5,'Leave Log'!$F$5:$F$304,"&lt;&gt;Rejected",'Leave Log'!$B$5:$B$304,"AL")&gt;0,"AL",IF(COUNTIFS('Leave Log'!$A$5:$A$304,$A23,'Leave Log'!$C$5:$C$304,"&lt;="&amp;Q$5,'Leave Log'!$D$5:$D$304,"&gt;="&amp;Q$5,'Leave Log'!$F$5:$F$304,"&lt;&gt;Rejected",'Leave Log'!$B$5:$B$304,"SL")&gt;0,"SL",IF(COUNTIFS('Leave Log'!$A$5:$A$304,$A23,'Leave Log'!$C$5:$C$304,"&lt;="&amp;Q$5,'Leave Log'!$D$5:$D$304,"&gt;="&amp;Q$5,'Leave Log'!$F$5:$F$304,"&lt;&gt;Rejected",'Leave Log'!$B$5:$B$304,"CL")&gt;0,"CL",IF(COUNTIFS('Leave Log'!$A$5:$A$304,$A23,'Leave Log'!$C$5:$C$304,"&lt;="&amp;Q$5,'Leave Log'!$D$5:$D$304,"&gt;="&amp;Q$5,'Leave Log'!$F$5:$F$304,"&lt;&gt;Rejected",'Leave Log'!$B$5:$B$304,"UL")&gt;0,"UL",IF(COUNTIFS('Leave Log'!$A$5:$A$304,$A23,'Leave Log'!$C$5:$C$304,"&lt;="&amp;Q$5,'Leave Log'!$D$5:$D$304,"&gt;="&amp;Q$5,'Leave Log'!$F$5:$F$304,"&lt;&gt;Rejected",'Leave Log'!$B$5:$B$304,"OT")&gt;0,"OT",""))))))</f>
        <v/>
      </c>
      <c r="R23" s="12" t="str">
        <f aca="false">IF(OR(R$5="",$A23=""),"",IF(COUNTIFS('Leave Log'!$A$5:$A$304,$A23,'Leave Log'!$C$5:$C$304,"&lt;="&amp;R$5,'Leave Log'!$D$5:$D$304,"&gt;="&amp;R$5,'Leave Log'!$F$5:$F$304,"&lt;&gt;Rejected",'Leave Log'!$B$5:$B$304,"AL")&gt;0,"AL",IF(COUNTIFS('Leave Log'!$A$5:$A$304,$A23,'Leave Log'!$C$5:$C$304,"&lt;="&amp;R$5,'Leave Log'!$D$5:$D$304,"&gt;="&amp;R$5,'Leave Log'!$F$5:$F$304,"&lt;&gt;Rejected",'Leave Log'!$B$5:$B$304,"SL")&gt;0,"SL",IF(COUNTIFS('Leave Log'!$A$5:$A$304,$A23,'Leave Log'!$C$5:$C$304,"&lt;="&amp;R$5,'Leave Log'!$D$5:$D$304,"&gt;="&amp;R$5,'Leave Log'!$F$5:$F$304,"&lt;&gt;Rejected",'Leave Log'!$B$5:$B$304,"CL")&gt;0,"CL",IF(COUNTIFS('Leave Log'!$A$5:$A$304,$A23,'Leave Log'!$C$5:$C$304,"&lt;="&amp;R$5,'Leave Log'!$D$5:$D$304,"&gt;="&amp;R$5,'Leave Log'!$F$5:$F$304,"&lt;&gt;Rejected",'Leave Log'!$B$5:$B$304,"UL")&gt;0,"UL",IF(COUNTIFS('Leave Log'!$A$5:$A$304,$A23,'Leave Log'!$C$5:$C$304,"&lt;="&amp;R$5,'Leave Log'!$D$5:$D$304,"&gt;="&amp;R$5,'Leave Log'!$F$5:$F$304,"&lt;&gt;Rejected",'Leave Log'!$B$5:$B$304,"OT")&gt;0,"OT",""))))))</f>
        <v/>
      </c>
      <c r="S23" s="12" t="str">
        <f aca="false">IF(OR(S$5="",$A23=""),"",IF(COUNTIFS('Leave Log'!$A$5:$A$304,$A23,'Leave Log'!$C$5:$C$304,"&lt;="&amp;S$5,'Leave Log'!$D$5:$D$304,"&gt;="&amp;S$5,'Leave Log'!$F$5:$F$304,"&lt;&gt;Rejected",'Leave Log'!$B$5:$B$304,"AL")&gt;0,"AL",IF(COUNTIFS('Leave Log'!$A$5:$A$304,$A23,'Leave Log'!$C$5:$C$304,"&lt;="&amp;S$5,'Leave Log'!$D$5:$D$304,"&gt;="&amp;S$5,'Leave Log'!$F$5:$F$304,"&lt;&gt;Rejected",'Leave Log'!$B$5:$B$304,"SL")&gt;0,"SL",IF(COUNTIFS('Leave Log'!$A$5:$A$304,$A23,'Leave Log'!$C$5:$C$304,"&lt;="&amp;S$5,'Leave Log'!$D$5:$D$304,"&gt;="&amp;S$5,'Leave Log'!$F$5:$F$304,"&lt;&gt;Rejected",'Leave Log'!$B$5:$B$304,"CL")&gt;0,"CL",IF(COUNTIFS('Leave Log'!$A$5:$A$304,$A23,'Leave Log'!$C$5:$C$304,"&lt;="&amp;S$5,'Leave Log'!$D$5:$D$304,"&gt;="&amp;S$5,'Leave Log'!$F$5:$F$304,"&lt;&gt;Rejected",'Leave Log'!$B$5:$B$304,"UL")&gt;0,"UL",IF(COUNTIFS('Leave Log'!$A$5:$A$304,$A23,'Leave Log'!$C$5:$C$304,"&lt;="&amp;S$5,'Leave Log'!$D$5:$D$304,"&gt;="&amp;S$5,'Leave Log'!$F$5:$F$304,"&lt;&gt;Rejected",'Leave Log'!$B$5:$B$304,"OT")&gt;0,"OT",""))))))</f>
        <v/>
      </c>
      <c r="T23" s="12" t="str">
        <f aca="false">IF(OR(T$5="",$A23=""),"",IF(COUNTIFS('Leave Log'!$A$5:$A$304,$A23,'Leave Log'!$C$5:$C$304,"&lt;="&amp;T$5,'Leave Log'!$D$5:$D$304,"&gt;="&amp;T$5,'Leave Log'!$F$5:$F$304,"&lt;&gt;Rejected",'Leave Log'!$B$5:$B$304,"AL")&gt;0,"AL",IF(COUNTIFS('Leave Log'!$A$5:$A$304,$A23,'Leave Log'!$C$5:$C$304,"&lt;="&amp;T$5,'Leave Log'!$D$5:$D$304,"&gt;="&amp;T$5,'Leave Log'!$F$5:$F$304,"&lt;&gt;Rejected",'Leave Log'!$B$5:$B$304,"SL")&gt;0,"SL",IF(COUNTIFS('Leave Log'!$A$5:$A$304,$A23,'Leave Log'!$C$5:$C$304,"&lt;="&amp;T$5,'Leave Log'!$D$5:$D$304,"&gt;="&amp;T$5,'Leave Log'!$F$5:$F$304,"&lt;&gt;Rejected",'Leave Log'!$B$5:$B$304,"CL")&gt;0,"CL",IF(COUNTIFS('Leave Log'!$A$5:$A$304,$A23,'Leave Log'!$C$5:$C$304,"&lt;="&amp;T$5,'Leave Log'!$D$5:$D$304,"&gt;="&amp;T$5,'Leave Log'!$F$5:$F$304,"&lt;&gt;Rejected",'Leave Log'!$B$5:$B$304,"UL")&gt;0,"UL",IF(COUNTIFS('Leave Log'!$A$5:$A$304,$A23,'Leave Log'!$C$5:$C$304,"&lt;="&amp;T$5,'Leave Log'!$D$5:$D$304,"&gt;="&amp;T$5,'Leave Log'!$F$5:$F$304,"&lt;&gt;Rejected",'Leave Log'!$B$5:$B$304,"OT")&gt;0,"OT",""))))))</f>
        <v/>
      </c>
      <c r="U23" s="12" t="str">
        <f aca="false">IF(OR(U$5="",$A23=""),"",IF(COUNTIFS('Leave Log'!$A$5:$A$304,$A23,'Leave Log'!$C$5:$C$304,"&lt;="&amp;U$5,'Leave Log'!$D$5:$D$304,"&gt;="&amp;U$5,'Leave Log'!$F$5:$F$304,"&lt;&gt;Rejected",'Leave Log'!$B$5:$B$304,"AL")&gt;0,"AL",IF(COUNTIFS('Leave Log'!$A$5:$A$304,$A23,'Leave Log'!$C$5:$C$304,"&lt;="&amp;U$5,'Leave Log'!$D$5:$D$304,"&gt;="&amp;U$5,'Leave Log'!$F$5:$F$304,"&lt;&gt;Rejected",'Leave Log'!$B$5:$B$304,"SL")&gt;0,"SL",IF(COUNTIFS('Leave Log'!$A$5:$A$304,$A23,'Leave Log'!$C$5:$C$304,"&lt;="&amp;U$5,'Leave Log'!$D$5:$D$304,"&gt;="&amp;U$5,'Leave Log'!$F$5:$F$304,"&lt;&gt;Rejected",'Leave Log'!$B$5:$B$304,"CL")&gt;0,"CL",IF(COUNTIFS('Leave Log'!$A$5:$A$304,$A23,'Leave Log'!$C$5:$C$304,"&lt;="&amp;U$5,'Leave Log'!$D$5:$D$304,"&gt;="&amp;U$5,'Leave Log'!$F$5:$F$304,"&lt;&gt;Rejected",'Leave Log'!$B$5:$B$304,"UL")&gt;0,"UL",IF(COUNTIFS('Leave Log'!$A$5:$A$304,$A23,'Leave Log'!$C$5:$C$304,"&lt;="&amp;U$5,'Leave Log'!$D$5:$D$304,"&gt;="&amp;U$5,'Leave Log'!$F$5:$F$304,"&lt;&gt;Rejected",'Leave Log'!$B$5:$B$304,"OT")&gt;0,"OT",""))))))</f>
        <v/>
      </c>
      <c r="V23" s="12" t="str">
        <f aca="false">IF(OR(V$5="",$A23=""),"",IF(COUNTIFS('Leave Log'!$A$5:$A$304,$A23,'Leave Log'!$C$5:$C$304,"&lt;="&amp;V$5,'Leave Log'!$D$5:$D$304,"&gt;="&amp;V$5,'Leave Log'!$F$5:$F$304,"&lt;&gt;Rejected",'Leave Log'!$B$5:$B$304,"AL")&gt;0,"AL",IF(COUNTIFS('Leave Log'!$A$5:$A$304,$A23,'Leave Log'!$C$5:$C$304,"&lt;="&amp;V$5,'Leave Log'!$D$5:$D$304,"&gt;="&amp;V$5,'Leave Log'!$F$5:$F$304,"&lt;&gt;Rejected",'Leave Log'!$B$5:$B$304,"SL")&gt;0,"SL",IF(COUNTIFS('Leave Log'!$A$5:$A$304,$A23,'Leave Log'!$C$5:$C$304,"&lt;="&amp;V$5,'Leave Log'!$D$5:$D$304,"&gt;="&amp;V$5,'Leave Log'!$F$5:$F$304,"&lt;&gt;Rejected",'Leave Log'!$B$5:$B$304,"CL")&gt;0,"CL",IF(COUNTIFS('Leave Log'!$A$5:$A$304,$A23,'Leave Log'!$C$5:$C$304,"&lt;="&amp;V$5,'Leave Log'!$D$5:$D$304,"&gt;="&amp;V$5,'Leave Log'!$F$5:$F$304,"&lt;&gt;Rejected",'Leave Log'!$B$5:$B$304,"UL")&gt;0,"UL",IF(COUNTIFS('Leave Log'!$A$5:$A$304,$A23,'Leave Log'!$C$5:$C$304,"&lt;="&amp;V$5,'Leave Log'!$D$5:$D$304,"&gt;="&amp;V$5,'Leave Log'!$F$5:$F$304,"&lt;&gt;Rejected",'Leave Log'!$B$5:$B$304,"OT")&gt;0,"OT",""))))))</f>
        <v/>
      </c>
      <c r="W23" s="12" t="str">
        <f aca="false">IF(OR(W$5="",$A23=""),"",IF(COUNTIFS('Leave Log'!$A$5:$A$304,$A23,'Leave Log'!$C$5:$C$304,"&lt;="&amp;W$5,'Leave Log'!$D$5:$D$304,"&gt;="&amp;W$5,'Leave Log'!$F$5:$F$304,"&lt;&gt;Rejected",'Leave Log'!$B$5:$B$304,"AL")&gt;0,"AL",IF(COUNTIFS('Leave Log'!$A$5:$A$304,$A23,'Leave Log'!$C$5:$C$304,"&lt;="&amp;W$5,'Leave Log'!$D$5:$D$304,"&gt;="&amp;W$5,'Leave Log'!$F$5:$F$304,"&lt;&gt;Rejected",'Leave Log'!$B$5:$B$304,"SL")&gt;0,"SL",IF(COUNTIFS('Leave Log'!$A$5:$A$304,$A23,'Leave Log'!$C$5:$C$304,"&lt;="&amp;W$5,'Leave Log'!$D$5:$D$304,"&gt;="&amp;W$5,'Leave Log'!$F$5:$F$304,"&lt;&gt;Rejected",'Leave Log'!$B$5:$B$304,"CL")&gt;0,"CL",IF(COUNTIFS('Leave Log'!$A$5:$A$304,$A23,'Leave Log'!$C$5:$C$304,"&lt;="&amp;W$5,'Leave Log'!$D$5:$D$304,"&gt;="&amp;W$5,'Leave Log'!$F$5:$F$304,"&lt;&gt;Rejected",'Leave Log'!$B$5:$B$304,"UL")&gt;0,"UL",IF(COUNTIFS('Leave Log'!$A$5:$A$304,$A23,'Leave Log'!$C$5:$C$304,"&lt;="&amp;W$5,'Leave Log'!$D$5:$D$304,"&gt;="&amp;W$5,'Leave Log'!$F$5:$F$304,"&lt;&gt;Rejected",'Leave Log'!$B$5:$B$304,"OT")&gt;0,"OT",""))))))</f>
        <v/>
      </c>
      <c r="X23" s="12" t="str">
        <f aca="false">IF(OR(X$5="",$A23=""),"",IF(COUNTIFS('Leave Log'!$A$5:$A$304,$A23,'Leave Log'!$C$5:$C$304,"&lt;="&amp;X$5,'Leave Log'!$D$5:$D$304,"&gt;="&amp;X$5,'Leave Log'!$F$5:$F$304,"&lt;&gt;Rejected",'Leave Log'!$B$5:$B$304,"AL")&gt;0,"AL",IF(COUNTIFS('Leave Log'!$A$5:$A$304,$A23,'Leave Log'!$C$5:$C$304,"&lt;="&amp;X$5,'Leave Log'!$D$5:$D$304,"&gt;="&amp;X$5,'Leave Log'!$F$5:$F$304,"&lt;&gt;Rejected",'Leave Log'!$B$5:$B$304,"SL")&gt;0,"SL",IF(COUNTIFS('Leave Log'!$A$5:$A$304,$A23,'Leave Log'!$C$5:$C$304,"&lt;="&amp;X$5,'Leave Log'!$D$5:$D$304,"&gt;="&amp;X$5,'Leave Log'!$F$5:$F$304,"&lt;&gt;Rejected",'Leave Log'!$B$5:$B$304,"CL")&gt;0,"CL",IF(COUNTIFS('Leave Log'!$A$5:$A$304,$A23,'Leave Log'!$C$5:$C$304,"&lt;="&amp;X$5,'Leave Log'!$D$5:$D$304,"&gt;="&amp;X$5,'Leave Log'!$F$5:$F$304,"&lt;&gt;Rejected",'Leave Log'!$B$5:$B$304,"UL")&gt;0,"UL",IF(COUNTIFS('Leave Log'!$A$5:$A$304,$A23,'Leave Log'!$C$5:$C$304,"&lt;="&amp;X$5,'Leave Log'!$D$5:$D$304,"&gt;="&amp;X$5,'Leave Log'!$F$5:$F$304,"&lt;&gt;Rejected",'Leave Log'!$B$5:$B$304,"OT")&gt;0,"OT",""))))))</f>
        <v/>
      </c>
      <c r="Y23" s="12" t="str">
        <f aca="false">IF(OR(Y$5="",$A23=""),"",IF(COUNTIFS('Leave Log'!$A$5:$A$304,$A23,'Leave Log'!$C$5:$C$304,"&lt;="&amp;Y$5,'Leave Log'!$D$5:$D$304,"&gt;="&amp;Y$5,'Leave Log'!$F$5:$F$304,"&lt;&gt;Rejected",'Leave Log'!$B$5:$B$304,"AL")&gt;0,"AL",IF(COUNTIFS('Leave Log'!$A$5:$A$304,$A23,'Leave Log'!$C$5:$C$304,"&lt;="&amp;Y$5,'Leave Log'!$D$5:$D$304,"&gt;="&amp;Y$5,'Leave Log'!$F$5:$F$304,"&lt;&gt;Rejected",'Leave Log'!$B$5:$B$304,"SL")&gt;0,"SL",IF(COUNTIFS('Leave Log'!$A$5:$A$304,$A23,'Leave Log'!$C$5:$C$304,"&lt;="&amp;Y$5,'Leave Log'!$D$5:$D$304,"&gt;="&amp;Y$5,'Leave Log'!$F$5:$F$304,"&lt;&gt;Rejected",'Leave Log'!$B$5:$B$304,"CL")&gt;0,"CL",IF(COUNTIFS('Leave Log'!$A$5:$A$304,$A23,'Leave Log'!$C$5:$C$304,"&lt;="&amp;Y$5,'Leave Log'!$D$5:$D$304,"&gt;="&amp;Y$5,'Leave Log'!$F$5:$F$304,"&lt;&gt;Rejected",'Leave Log'!$B$5:$B$304,"UL")&gt;0,"UL",IF(COUNTIFS('Leave Log'!$A$5:$A$304,$A23,'Leave Log'!$C$5:$C$304,"&lt;="&amp;Y$5,'Leave Log'!$D$5:$D$304,"&gt;="&amp;Y$5,'Leave Log'!$F$5:$F$304,"&lt;&gt;Rejected",'Leave Log'!$B$5:$B$304,"OT")&gt;0,"OT",""))))))</f>
        <v/>
      </c>
      <c r="Z23" s="12" t="str">
        <f aca="false">IF(OR(Z$5="",$A23=""),"",IF(COUNTIFS('Leave Log'!$A$5:$A$304,$A23,'Leave Log'!$C$5:$C$304,"&lt;="&amp;Z$5,'Leave Log'!$D$5:$D$304,"&gt;="&amp;Z$5,'Leave Log'!$F$5:$F$304,"&lt;&gt;Rejected",'Leave Log'!$B$5:$B$304,"AL")&gt;0,"AL",IF(COUNTIFS('Leave Log'!$A$5:$A$304,$A23,'Leave Log'!$C$5:$C$304,"&lt;="&amp;Z$5,'Leave Log'!$D$5:$D$304,"&gt;="&amp;Z$5,'Leave Log'!$F$5:$F$304,"&lt;&gt;Rejected",'Leave Log'!$B$5:$B$304,"SL")&gt;0,"SL",IF(COUNTIFS('Leave Log'!$A$5:$A$304,$A23,'Leave Log'!$C$5:$C$304,"&lt;="&amp;Z$5,'Leave Log'!$D$5:$D$304,"&gt;="&amp;Z$5,'Leave Log'!$F$5:$F$304,"&lt;&gt;Rejected",'Leave Log'!$B$5:$B$304,"CL")&gt;0,"CL",IF(COUNTIFS('Leave Log'!$A$5:$A$304,$A23,'Leave Log'!$C$5:$C$304,"&lt;="&amp;Z$5,'Leave Log'!$D$5:$D$304,"&gt;="&amp;Z$5,'Leave Log'!$F$5:$F$304,"&lt;&gt;Rejected",'Leave Log'!$B$5:$B$304,"UL")&gt;0,"UL",IF(COUNTIFS('Leave Log'!$A$5:$A$304,$A23,'Leave Log'!$C$5:$C$304,"&lt;="&amp;Z$5,'Leave Log'!$D$5:$D$304,"&gt;="&amp;Z$5,'Leave Log'!$F$5:$F$304,"&lt;&gt;Rejected",'Leave Log'!$B$5:$B$304,"OT")&gt;0,"OT",""))))))</f>
        <v/>
      </c>
      <c r="AA23" s="12" t="str">
        <f aca="false">IF(OR(AA$5="",$A23=""),"",IF(COUNTIFS('Leave Log'!$A$5:$A$304,$A23,'Leave Log'!$C$5:$C$304,"&lt;="&amp;AA$5,'Leave Log'!$D$5:$D$304,"&gt;="&amp;AA$5,'Leave Log'!$F$5:$F$304,"&lt;&gt;Rejected",'Leave Log'!$B$5:$B$304,"AL")&gt;0,"AL",IF(COUNTIFS('Leave Log'!$A$5:$A$304,$A23,'Leave Log'!$C$5:$C$304,"&lt;="&amp;AA$5,'Leave Log'!$D$5:$D$304,"&gt;="&amp;AA$5,'Leave Log'!$F$5:$F$304,"&lt;&gt;Rejected",'Leave Log'!$B$5:$B$304,"SL")&gt;0,"SL",IF(COUNTIFS('Leave Log'!$A$5:$A$304,$A23,'Leave Log'!$C$5:$C$304,"&lt;="&amp;AA$5,'Leave Log'!$D$5:$D$304,"&gt;="&amp;AA$5,'Leave Log'!$F$5:$F$304,"&lt;&gt;Rejected",'Leave Log'!$B$5:$B$304,"CL")&gt;0,"CL",IF(COUNTIFS('Leave Log'!$A$5:$A$304,$A23,'Leave Log'!$C$5:$C$304,"&lt;="&amp;AA$5,'Leave Log'!$D$5:$D$304,"&gt;="&amp;AA$5,'Leave Log'!$F$5:$F$304,"&lt;&gt;Rejected",'Leave Log'!$B$5:$B$304,"UL")&gt;0,"UL",IF(COUNTIFS('Leave Log'!$A$5:$A$304,$A23,'Leave Log'!$C$5:$C$304,"&lt;="&amp;AA$5,'Leave Log'!$D$5:$D$304,"&gt;="&amp;AA$5,'Leave Log'!$F$5:$F$304,"&lt;&gt;Rejected",'Leave Log'!$B$5:$B$304,"OT")&gt;0,"OT",""))))))</f>
        <v/>
      </c>
      <c r="AB23" s="12" t="str">
        <f aca="false">IF(OR(AB$5="",$A23=""),"",IF(COUNTIFS('Leave Log'!$A$5:$A$304,$A23,'Leave Log'!$C$5:$C$304,"&lt;="&amp;AB$5,'Leave Log'!$D$5:$D$304,"&gt;="&amp;AB$5,'Leave Log'!$F$5:$F$304,"&lt;&gt;Rejected",'Leave Log'!$B$5:$B$304,"AL")&gt;0,"AL",IF(COUNTIFS('Leave Log'!$A$5:$A$304,$A23,'Leave Log'!$C$5:$C$304,"&lt;="&amp;AB$5,'Leave Log'!$D$5:$D$304,"&gt;="&amp;AB$5,'Leave Log'!$F$5:$F$304,"&lt;&gt;Rejected",'Leave Log'!$B$5:$B$304,"SL")&gt;0,"SL",IF(COUNTIFS('Leave Log'!$A$5:$A$304,$A23,'Leave Log'!$C$5:$C$304,"&lt;="&amp;AB$5,'Leave Log'!$D$5:$D$304,"&gt;="&amp;AB$5,'Leave Log'!$F$5:$F$304,"&lt;&gt;Rejected",'Leave Log'!$B$5:$B$304,"CL")&gt;0,"CL",IF(COUNTIFS('Leave Log'!$A$5:$A$304,$A23,'Leave Log'!$C$5:$C$304,"&lt;="&amp;AB$5,'Leave Log'!$D$5:$D$304,"&gt;="&amp;AB$5,'Leave Log'!$F$5:$F$304,"&lt;&gt;Rejected",'Leave Log'!$B$5:$B$304,"UL")&gt;0,"UL",IF(COUNTIFS('Leave Log'!$A$5:$A$304,$A23,'Leave Log'!$C$5:$C$304,"&lt;="&amp;AB$5,'Leave Log'!$D$5:$D$304,"&gt;="&amp;AB$5,'Leave Log'!$F$5:$F$304,"&lt;&gt;Rejected",'Leave Log'!$B$5:$B$304,"OT")&gt;0,"OT",""))))))</f>
        <v/>
      </c>
      <c r="AC23" s="12" t="str">
        <f aca="false">IF(OR(AC$5="",$A23=""),"",IF(COUNTIFS('Leave Log'!$A$5:$A$304,$A23,'Leave Log'!$C$5:$C$304,"&lt;="&amp;AC$5,'Leave Log'!$D$5:$D$304,"&gt;="&amp;AC$5,'Leave Log'!$F$5:$F$304,"&lt;&gt;Rejected",'Leave Log'!$B$5:$B$304,"AL")&gt;0,"AL",IF(COUNTIFS('Leave Log'!$A$5:$A$304,$A23,'Leave Log'!$C$5:$C$304,"&lt;="&amp;AC$5,'Leave Log'!$D$5:$D$304,"&gt;="&amp;AC$5,'Leave Log'!$F$5:$F$304,"&lt;&gt;Rejected",'Leave Log'!$B$5:$B$304,"SL")&gt;0,"SL",IF(COUNTIFS('Leave Log'!$A$5:$A$304,$A23,'Leave Log'!$C$5:$C$304,"&lt;="&amp;AC$5,'Leave Log'!$D$5:$D$304,"&gt;="&amp;AC$5,'Leave Log'!$F$5:$F$304,"&lt;&gt;Rejected",'Leave Log'!$B$5:$B$304,"CL")&gt;0,"CL",IF(COUNTIFS('Leave Log'!$A$5:$A$304,$A23,'Leave Log'!$C$5:$C$304,"&lt;="&amp;AC$5,'Leave Log'!$D$5:$D$304,"&gt;="&amp;AC$5,'Leave Log'!$F$5:$F$304,"&lt;&gt;Rejected",'Leave Log'!$B$5:$B$304,"UL")&gt;0,"UL",IF(COUNTIFS('Leave Log'!$A$5:$A$304,$A23,'Leave Log'!$C$5:$C$304,"&lt;="&amp;AC$5,'Leave Log'!$D$5:$D$304,"&gt;="&amp;AC$5,'Leave Log'!$F$5:$F$304,"&lt;&gt;Rejected",'Leave Log'!$B$5:$B$304,"OT")&gt;0,"OT",""))))))</f>
        <v/>
      </c>
      <c r="AD23" s="12" t="str">
        <f aca="false">IF(OR(AD$5="",$A23=""),"",IF(COUNTIFS('Leave Log'!$A$5:$A$304,$A23,'Leave Log'!$C$5:$C$304,"&lt;="&amp;AD$5,'Leave Log'!$D$5:$D$304,"&gt;="&amp;AD$5,'Leave Log'!$F$5:$F$304,"&lt;&gt;Rejected",'Leave Log'!$B$5:$B$304,"AL")&gt;0,"AL",IF(COUNTIFS('Leave Log'!$A$5:$A$304,$A23,'Leave Log'!$C$5:$C$304,"&lt;="&amp;AD$5,'Leave Log'!$D$5:$D$304,"&gt;="&amp;AD$5,'Leave Log'!$F$5:$F$304,"&lt;&gt;Rejected",'Leave Log'!$B$5:$B$304,"SL")&gt;0,"SL",IF(COUNTIFS('Leave Log'!$A$5:$A$304,$A23,'Leave Log'!$C$5:$C$304,"&lt;="&amp;AD$5,'Leave Log'!$D$5:$D$304,"&gt;="&amp;AD$5,'Leave Log'!$F$5:$F$304,"&lt;&gt;Rejected",'Leave Log'!$B$5:$B$304,"CL")&gt;0,"CL",IF(COUNTIFS('Leave Log'!$A$5:$A$304,$A23,'Leave Log'!$C$5:$C$304,"&lt;="&amp;AD$5,'Leave Log'!$D$5:$D$304,"&gt;="&amp;AD$5,'Leave Log'!$F$5:$F$304,"&lt;&gt;Rejected",'Leave Log'!$B$5:$B$304,"UL")&gt;0,"UL",IF(COUNTIFS('Leave Log'!$A$5:$A$304,$A23,'Leave Log'!$C$5:$C$304,"&lt;="&amp;AD$5,'Leave Log'!$D$5:$D$304,"&gt;="&amp;AD$5,'Leave Log'!$F$5:$F$304,"&lt;&gt;Rejected",'Leave Log'!$B$5:$B$304,"OT")&gt;0,"OT",""))))))</f>
        <v/>
      </c>
      <c r="AE23" s="12" t="str">
        <f aca="false">IF(OR(AE$5="",$A23=""),"",IF(COUNTIFS('Leave Log'!$A$5:$A$304,$A23,'Leave Log'!$C$5:$C$304,"&lt;="&amp;AE$5,'Leave Log'!$D$5:$D$304,"&gt;="&amp;AE$5,'Leave Log'!$F$5:$F$304,"&lt;&gt;Rejected",'Leave Log'!$B$5:$B$304,"AL")&gt;0,"AL",IF(COUNTIFS('Leave Log'!$A$5:$A$304,$A23,'Leave Log'!$C$5:$C$304,"&lt;="&amp;AE$5,'Leave Log'!$D$5:$D$304,"&gt;="&amp;AE$5,'Leave Log'!$F$5:$F$304,"&lt;&gt;Rejected",'Leave Log'!$B$5:$B$304,"SL")&gt;0,"SL",IF(COUNTIFS('Leave Log'!$A$5:$A$304,$A23,'Leave Log'!$C$5:$C$304,"&lt;="&amp;AE$5,'Leave Log'!$D$5:$D$304,"&gt;="&amp;AE$5,'Leave Log'!$F$5:$F$304,"&lt;&gt;Rejected",'Leave Log'!$B$5:$B$304,"CL")&gt;0,"CL",IF(COUNTIFS('Leave Log'!$A$5:$A$304,$A23,'Leave Log'!$C$5:$C$304,"&lt;="&amp;AE$5,'Leave Log'!$D$5:$D$304,"&gt;="&amp;AE$5,'Leave Log'!$F$5:$F$304,"&lt;&gt;Rejected",'Leave Log'!$B$5:$B$304,"UL")&gt;0,"UL",IF(COUNTIFS('Leave Log'!$A$5:$A$304,$A23,'Leave Log'!$C$5:$C$304,"&lt;="&amp;AE$5,'Leave Log'!$D$5:$D$304,"&gt;="&amp;AE$5,'Leave Log'!$F$5:$F$304,"&lt;&gt;Rejected",'Leave Log'!$B$5:$B$304,"OT")&gt;0,"OT",""))))))</f>
        <v/>
      </c>
      <c r="AF23" s="12" t="str">
        <f aca="false">IF(OR(AF$5="",$A23=""),"",IF(COUNTIFS('Leave Log'!$A$5:$A$304,$A23,'Leave Log'!$C$5:$C$304,"&lt;="&amp;AF$5,'Leave Log'!$D$5:$D$304,"&gt;="&amp;AF$5,'Leave Log'!$F$5:$F$304,"&lt;&gt;Rejected",'Leave Log'!$B$5:$B$304,"AL")&gt;0,"AL",IF(COUNTIFS('Leave Log'!$A$5:$A$304,$A23,'Leave Log'!$C$5:$C$304,"&lt;="&amp;AF$5,'Leave Log'!$D$5:$D$304,"&gt;="&amp;AF$5,'Leave Log'!$F$5:$F$304,"&lt;&gt;Rejected",'Leave Log'!$B$5:$B$304,"SL")&gt;0,"SL",IF(COUNTIFS('Leave Log'!$A$5:$A$304,$A23,'Leave Log'!$C$5:$C$304,"&lt;="&amp;AF$5,'Leave Log'!$D$5:$D$304,"&gt;="&amp;AF$5,'Leave Log'!$F$5:$F$304,"&lt;&gt;Rejected",'Leave Log'!$B$5:$B$304,"CL")&gt;0,"CL",IF(COUNTIFS('Leave Log'!$A$5:$A$304,$A23,'Leave Log'!$C$5:$C$304,"&lt;="&amp;AF$5,'Leave Log'!$D$5:$D$304,"&gt;="&amp;AF$5,'Leave Log'!$F$5:$F$304,"&lt;&gt;Rejected",'Leave Log'!$B$5:$B$304,"UL")&gt;0,"UL",IF(COUNTIFS('Leave Log'!$A$5:$A$304,$A23,'Leave Log'!$C$5:$C$304,"&lt;="&amp;AF$5,'Leave Log'!$D$5:$D$304,"&gt;="&amp;AF$5,'Leave Log'!$F$5:$F$304,"&lt;&gt;Rejected",'Leave Log'!$B$5:$B$304,"OT")&gt;0,"OT",""))))))</f>
        <v/>
      </c>
      <c r="AG23" s="12" t="str">
        <f aca="false">IF(OR(AG$5="",$A23=""),"",IF(COUNTIFS('Leave Log'!$A$5:$A$304,$A23,'Leave Log'!$C$5:$C$304,"&lt;="&amp;AG$5,'Leave Log'!$D$5:$D$304,"&gt;="&amp;AG$5,'Leave Log'!$F$5:$F$304,"&lt;&gt;Rejected",'Leave Log'!$B$5:$B$304,"AL")&gt;0,"AL",IF(COUNTIFS('Leave Log'!$A$5:$A$304,$A23,'Leave Log'!$C$5:$C$304,"&lt;="&amp;AG$5,'Leave Log'!$D$5:$D$304,"&gt;="&amp;AG$5,'Leave Log'!$F$5:$F$304,"&lt;&gt;Rejected",'Leave Log'!$B$5:$B$304,"SL")&gt;0,"SL",IF(COUNTIFS('Leave Log'!$A$5:$A$304,$A23,'Leave Log'!$C$5:$C$304,"&lt;="&amp;AG$5,'Leave Log'!$D$5:$D$304,"&gt;="&amp;AG$5,'Leave Log'!$F$5:$F$304,"&lt;&gt;Rejected",'Leave Log'!$B$5:$B$304,"CL")&gt;0,"CL",IF(COUNTIFS('Leave Log'!$A$5:$A$304,$A23,'Leave Log'!$C$5:$C$304,"&lt;="&amp;AG$5,'Leave Log'!$D$5:$D$304,"&gt;="&amp;AG$5,'Leave Log'!$F$5:$F$304,"&lt;&gt;Rejected",'Leave Log'!$B$5:$B$304,"UL")&gt;0,"UL",IF(COUNTIFS('Leave Log'!$A$5:$A$304,$A23,'Leave Log'!$C$5:$C$304,"&lt;="&amp;AG$5,'Leave Log'!$D$5:$D$304,"&gt;="&amp;AG$5,'Leave Log'!$F$5:$F$304,"&lt;&gt;Rejected",'Leave Log'!$B$5:$B$304,"OT")&gt;0,"OT",""))))))</f>
        <v/>
      </c>
    </row>
    <row r="24" customFormat="false" ht="15" hidden="false" customHeight="false" outlineLevel="0" collapsed="false">
      <c r="A24" s="3" t="str">
        <f aca="false">IF(Employees!B23="","",Employees!B23)</f>
        <v/>
      </c>
      <c r="B24" s="11" t="str">
        <f aca="false">IF(Employees!B23="","",Employees!C23)</f>
        <v/>
      </c>
      <c r="C24" s="12" t="str">
        <f aca="false">IF(OR(C$5="",$A24=""),"",IF(COUNTIFS('Leave Log'!$A$5:$A$304,$A24,'Leave Log'!$C$5:$C$304,"&lt;="&amp;C$5,'Leave Log'!$D$5:$D$304,"&gt;="&amp;C$5,'Leave Log'!$F$5:$F$304,"&lt;&gt;Rejected",'Leave Log'!$B$5:$B$304,"AL")&gt;0,"AL",IF(COUNTIFS('Leave Log'!$A$5:$A$304,$A24,'Leave Log'!$C$5:$C$304,"&lt;="&amp;C$5,'Leave Log'!$D$5:$D$304,"&gt;="&amp;C$5,'Leave Log'!$F$5:$F$304,"&lt;&gt;Rejected",'Leave Log'!$B$5:$B$304,"SL")&gt;0,"SL",IF(COUNTIFS('Leave Log'!$A$5:$A$304,$A24,'Leave Log'!$C$5:$C$304,"&lt;="&amp;C$5,'Leave Log'!$D$5:$D$304,"&gt;="&amp;C$5,'Leave Log'!$F$5:$F$304,"&lt;&gt;Rejected",'Leave Log'!$B$5:$B$304,"CL")&gt;0,"CL",IF(COUNTIFS('Leave Log'!$A$5:$A$304,$A24,'Leave Log'!$C$5:$C$304,"&lt;="&amp;C$5,'Leave Log'!$D$5:$D$304,"&gt;="&amp;C$5,'Leave Log'!$F$5:$F$304,"&lt;&gt;Rejected",'Leave Log'!$B$5:$B$304,"UL")&gt;0,"UL",IF(COUNTIFS('Leave Log'!$A$5:$A$304,$A24,'Leave Log'!$C$5:$C$304,"&lt;="&amp;C$5,'Leave Log'!$D$5:$D$304,"&gt;="&amp;C$5,'Leave Log'!$F$5:$F$304,"&lt;&gt;Rejected",'Leave Log'!$B$5:$B$304,"OT")&gt;0,"OT",""))))))</f>
        <v/>
      </c>
      <c r="D24" s="12" t="str">
        <f aca="false">IF(OR(D$5="",$A24=""),"",IF(COUNTIFS('Leave Log'!$A$5:$A$304,$A24,'Leave Log'!$C$5:$C$304,"&lt;="&amp;D$5,'Leave Log'!$D$5:$D$304,"&gt;="&amp;D$5,'Leave Log'!$F$5:$F$304,"&lt;&gt;Rejected",'Leave Log'!$B$5:$B$304,"AL")&gt;0,"AL",IF(COUNTIFS('Leave Log'!$A$5:$A$304,$A24,'Leave Log'!$C$5:$C$304,"&lt;="&amp;D$5,'Leave Log'!$D$5:$D$304,"&gt;="&amp;D$5,'Leave Log'!$F$5:$F$304,"&lt;&gt;Rejected",'Leave Log'!$B$5:$B$304,"SL")&gt;0,"SL",IF(COUNTIFS('Leave Log'!$A$5:$A$304,$A24,'Leave Log'!$C$5:$C$304,"&lt;="&amp;D$5,'Leave Log'!$D$5:$D$304,"&gt;="&amp;D$5,'Leave Log'!$F$5:$F$304,"&lt;&gt;Rejected",'Leave Log'!$B$5:$B$304,"CL")&gt;0,"CL",IF(COUNTIFS('Leave Log'!$A$5:$A$304,$A24,'Leave Log'!$C$5:$C$304,"&lt;="&amp;D$5,'Leave Log'!$D$5:$D$304,"&gt;="&amp;D$5,'Leave Log'!$F$5:$F$304,"&lt;&gt;Rejected",'Leave Log'!$B$5:$B$304,"UL")&gt;0,"UL",IF(COUNTIFS('Leave Log'!$A$5:$A$304,$A24,'Leave Log'!$C$5:$C$304,"&lt;="&amp;D$5,'Leave Log'!$D$5:$D$304,"&gt;="&amp;D$5,'Leave Log'!$F$5:$F$304,"&lt;&gt;Rejected",'Leave Log'!$B$5:$B$304,"OT")&gt;0,"OT",""))))))</f>
        <v/>
      </c>
      <c r="E24" s="12" t="str">
        <f aca="false">IF(OR(E$5="",$A24=""),"",IF(COUNTIFS('Leave Log'!$A$5:$A$304,$A24,'Leave Log'!$C$5:$C$304,"&lt;="&amp;E$5,'Leave Log'!$D$5:$D$304,"&gt;="&amp;E$5,'Leave Log'!$F$5:$F$304,"&lt;&gt;Rejected",'Leave Log'!$B$5:$B$304,"AL")&gt;0,"AL",IF(COUNTIFS('Leave Log'!$A$5:$A$304,$A24,'Leave Log'!$C$5:$C$304,"&lt;="&amp;E$5,'Leave Log'!$D$5:$D$304,"&gt;="&amp;E$5,'Leave Log'!$F$5:$F$304,"&lt;&gt;Rejected",'Leave Log'!$B$5:$B$304,"SL")&gt;0,"SL",IF(COUNTIFS('Leave Log'!$A$5:$A$304,$A24,'Leave Log'!$C$5:$C$304,"&lt;="&amp;E$5,'Leave Log'!$D$5:$D$304,"&gt;="&amp;E$5,'Leave Log'!$F$5:$F$304,"&lt;&gt;Rejected",'Leave Log'!$B$5:$B$304,"CL")&gt;0,"CL",IF(COUNTIFS('Leave Log'!$A$5:$A$304,$A24,'Leave Log'!$C$5:$C$304,"&lt;="&amp;E$5,'Leave Log'!$D$5:$D$304,"&gt;="&amp;E$5,'Leave Log'!$F$5:$F$304,"&lt;&gt;Rejected",'Leave Log'!$B$5:$B$304,"UL")&gt;0,"UL",IF(COUNTIFS('Leave Log'!$A$5:$A$304,$A24,'Leave Log'!$C$5:$C$304,"&lt;="&amp;E$5,'Leave Log'!$D$5:$D$304,"&gt;="&amp;E$5,'Leave Log'!$F$5:$F$304,"&lt;&gt;Rejected",'Leave Log'!$B$5:$B$304,"OT")&gt;0,"OT",""))))))</f>
        <v/>
      </c>
      <c r="F24" s="12" t="str">
        <f aca="false">IF(OR(F$5="",$A24=""),"",IF(COUNTIFS('Leave Log'!$A$5:$A$304,$A24,'Leave Log'!$C$5:$C$304,"&lt;="&amp;F$5,'Leave Log'!$D$5:$D$304,"&gt;="&amp;F$5,'Leave Log'!$F$5:$F$304,"&lt;&gt;Rejected",'Leave Log'!$B$5:$B$304,"AL")&gt;0,"AL",IF(COUNTIFS('Leave Log'!$A$5:$A$304,$A24,'Leave Log'!$C$5:$C$304,"&lt;="&amp;F$5,'Leave Log'!$D$5:$D$304,"&gt;="&amp;F$5,'Leave Log'!$F$5:$F$304,"&lt;&gt;Rejected",'Leave Log'!$B$5:$B$304,"SL")&gt;0,"SL",IF(COUNTIFS('Leave Log'!$A$5:$A$304,$A24,'Leave Log'!$C$5:$C$304,"&lt;="&amp;F$5,'Leave Log'!$D$5:$D$304,"&gt;="&amp;F$5,'Leave Log'!$F$5:$F$304,"&lt;&gt;Rejected",'Leave Log'!$B$5:$B$304,"CL")&gt;0,"CL",IF(COUNTIFS('Leave Log'!$A$5:$A$304,$A24,'Leave Log'!$C$5:$C$304,"&lt;="&amp;F$5,'Leave Log'!$D$5:$D$304,"&gt;="&amp;F$5,'Leave Log'!$F$5:$F$304,"&lt;&gt;Rejected",'Leave Log'!$B$5:$B$304,"UL")&gt;0,"UL",IF(COUNTIFS('Leave Log'!$A$5:$A$304,$A24,'Leave Log'!$C$5:$C$304,"&lt;="&amp;F$5,'Leave Log'!$D$5:$D$304,"&gt;="&amp;F$5,'Leave Log'!$F$5:$F$304,"&lt;&gt;Rejected",'Leave Log'!$B$5:$B$304,"OT")&gt;0,"OT",""))))))</f>
        <v/>
      </c>
      <c r="G24" s="12" t="str">
        <f aca="false">IF(OR(G$5="",$A24=""),"",IF(COUNTIFS('Leave Log'!$A$5:$A$304,$A24,'Leave Log'!$C$5:$C$304,"&lt;="&amp;G$5,'Leave Log'!$D$5:$D$304,"&gt;="&amp;G$5,'Leave Log'!$F$5:$F$304,"&lt;&gt;Rejected",'Leave Log'!$B$5:$B$304,"AL")&gt;0,"AL",IF(COUNTIFS('Leave Log'!$A$5:$A$304,$A24,'Leave Log'!$C$5:$C$304,"&lt;="&amp;G$5,'Leave Log'!$D$5:$D$304,"&gt;="&amp;G$5,'Leave Log'!$F$5:$F$304,"&lt;&gt;Rejected",'Leave Log'!$B$5:$B$304,"SL")&gt;0,"SL",IF(COUNTIFS('Leave Log'!$A$5:$A$304,$A24,'Leave Log'!$C$5:$C$304,"&lt;="&amp;G$5,'Leave Log'!$D$5:$D$304,"&gt;="&amp;G$5,'Leave Log'!$F$5:$F$304,"&lt;&gt;Rejected",'Leave Log'!$B$5:$B$304,"CL")&gt;0,"CL",IF(COUNTIFS('Leave Log'!$A$5:$A$304,$A24,'Leave Log'!$C$5:$C$304,"&lt;="&amp;G$5,'Leave Log'!$D$5:$D$304,"&gt;="&amp;G$5,'Leave Log'!$F$5:$F$304,"&lt;&gt;Rejected",'Leave Log'!$B$5:$B$304,"UL")&gt;0,"UL",IF(COUNTIFS('Leave Log'!$A$5:$A$304,$A24,'Leave Log'!$C$5:$C$304,"&lt;="&amp;G$5,'Leave Log'!$D$5:$D$304,"&gt;="&amp;G$5,'Leave Log'!$F$5:$F$304,"&lt;&gt;Rejected",'Leave Log'!$B$5:$B$304,"OT")&gt;0,"OT",""))))))</f>
        <v/>
      </c>
      <c r="H24" s="12" t="str">
        <f aca="false">IF(OR(H$5="",$A24=""),"",IF(COUNTIFS('Leave Log'!$A$5:$A$304,$A24,'Leave Log'!$C$5:$C$304,"&lt;="&amp;H$5,'Leave Log'!$D$5:$D$304,"&gt;="&amp;H$5,'Leave Log'!$F$5:$F$304,"&lt;&gt;Rejected",'Leave Log'!$B$5:$B$304,"AL")&gt;0,"AL",IF(COUNTIFS('Leave Log'!$A$5:$A$304,$A24,'Leave Log'!$C$5:$C$304,"&lt;="&amp;H$5,'Leave Log'!$D$5:$D$304,"&gt;="&amp;H$5,'Leave Log'!$F$5:$F$304,"&lt;&gt;Rejected",'Leave Log'!$B$5:$B$304,"SL")&gt;0,"SL",IF(COUNTIFS('Leave Log'!$A$5:$A$304,$A24,'Leave Log'!$C$5:$C$304,"&lt;="&amp;H$5,'Leave Log'!$D$5:$D$304,"&gt;="&amp;H$5,'Leave Log'!$F$5:$F$304,"&lt;&gt;Rejected",'Leave Log'!$B$5:$B$304,"CL")&gt;0,"CL",IF(COUNTIFS('Leave Log'!$A$5:$A$304,$A24,'Leave Log'!$C$5:$C$304,"&lt;="&amp;H$5,'Leave Log'!$D$5:$D$304,"&gt;="&amp;H$5,'Leave Log'!$F$5:$F$304,"&lt;&gt;Rejected",'Leave Log'!$B$5:$B$304,"UL")&gt;0,"UL",IF(COUNTIFS('Leave Log'!$A$5:$A$304,$A24,'Leave Log'!$C$5:$C$304,"&lt;="&amp;H$5,'Leave Log'!$D$5:$D$304,"&gt;="&amp;H$5,'Leave Log'!$F$5:$F$304,"&lt;&gt;Rejected",'Leave Log'!$B$5:$B$304,"OT")&gt;0,"OT",""))))))</f>
        <v/>
      </c>
      <c r="I24" s="12" t="str">
        <f aca="false">IF(OR(I$5="",$A24=""),"",IF(COUNTIFS('Leave Log'!$A$5:$A$304,$A24,'Leave Log'!$C$5:$C$304,"&lt;="&amp;I$5,'Leave Log'!$D$5:$D$304,"&gt;="&amp;I$5,'Leave Log'!$F$5:$F$304,"&lt;&gt;Rejected",'Leave Log'!$B$5:$B$304,"AL")&gt;0,"AL",IF(COUNTIFS('Leave Log'!$A$5:$A$304,$A24,'Leave Log'!$C$5:$C$304,"&lt;="&amp;I$5,'Leave Log'!$D$5:$D$304,"&gt;="&amp;I$5,'Leave Log'!$F$5:$F$304,"&lt;&gt;Rejected",'Leave Log'!$B$5:$B$304,"SL")&gt;0,"SL",IF(COUNTIFS('Leave Log'!$A$5:$A$304,$A24,'Leave Log'!$C$5:$C$304,"&lt;="&amp;I$5,'Leave Log'!$D$5:$D$304,"&gt;="&amp;I$5,'Leave Log'!$F$5:$F$304,"&lt;&gt;Rejected",'Leave Log'!$B$5:$B$304,"CL")&gt;0,"CL",IF(COUNTIFS('Leave Log'!$A$5:$A$304,$A24,'Leave Log'!$C$5:$C$304,"&lt;="&amp;I$5,'Leave Log'!$D$5:$D$304,"&gt;="&amp;I$5,'Leave Log'!$F$5:$F$304,"&lt;&gt;Rejected",'Leave Log'!$B$5:$B$304,"UL")&gt;0,"UL",IF(COUNTIFS('Leave Log'!$A$5:$A$304,$A24,'Leave Log'!$C$5:$C$304,"&lt;="&amp;I$5,'Leave Log'!$D$5:$D$304,"&gt;="&amp;I$5,'Leave Log'!$F$5:$F$304,"&lt;&gt;Rejected",'Leave Log'!$B$5:$B$304,"OT")&gt;0,"OT",""))))))</f>
        <v/>
      </c>
      <c r="J24" s="12" t="str">
        <f aca="false">IF(OR(J$5="",$A24=""),"",IF(COUNTIFS('Leave Log'!$A$5:$A$304,$A24,'Leave Log'!$C$5:$C$304,"&lt;="&amp;J$5,'Leave Log'!$D$5:$D$304,"&gt;="&amp;J$5,'Leave Log'!$F$5:$F$304,"&lt;&gt;Rejected",'Leave Log'!$B$5:$B$304,"AL")&gt;0,"AL",IF(COUNTIFS('Leave Log'!$A$5:$A$304,$A24,'Leave Log'!$C$5:$C$304,"&lt;="&amp;J$5,'Leave Log'!$D$5:$D$304,"&gt;="&amp;J$5,'Leave Log'!$F$5:$F$304,"&lt;&gt;Rejected",'Leave Log'!$B$5:$B$304,"SL")&gt;0,"SL",IF(COUNTIFS('Leave Log'!$A$5:$A$304,$A24,'Leave Log'!$C$5:$C$304,"&lt;="&amp;J$5,'Leave Log'!$D$5:$D$304,"&gt;="&amp;J$5,'Leave Log'!$F$5:$F$304,"&lt;&gt;Rejected",'Leave Log'!$B$5:$B$304,"CL")&gt;0,"CL",IF(COUNTIFS('Leave Log'!$A$5:$A$304,$A24,'Leave Log'!$C$5:$C$304,"&lt;="&amp;J$5,'Leave Log'!$D$5:$D$304,"&gt;="&amp;J$5,'Leave Log'!$F$5:$F$304,"&lt;&gt;Rejected",'Leave Log'!$B$5:$B$304,"UL")&gt;0,"UL",IF(COUNTIFS('Leave Log'!$A$5:$A$304,$A24,'Leave Log'!$C$5:$C$304,"&lt;="&amp;J$5,'Leave Log'!$D$5:$D$304,"&gt;="&amp;J$5,'Leave Log'!$F$5:$F$304,"&lt;&gt;Rejected",'Leave Log'!$B$5:$B$304,"OT")&gt;0,"OT",""))))))</f>
        <v/>
      </c>
      <c r="K24" s="12" t="str">
        <f aca="false">IF(OR(K$5="",$A24=""),"",IF(COUNTIFS('Leave Log'!$A$5:$A$304,$A24,'Leave Log'!$C$5:$C$304,"&lt;="&amp;K$5,'Leave Log'!$D$5:$D$304,"&gt;="&amp;K$5,'Leave Log'!$F$5:$F$304,"&lt;&gt;Rejected",'Leave Log'!$B$5:$B$304,"AL")&gt;0,"AL",IF(COUNTIFS('Leave Log'!$A$5:$A$304,$A24,'Leave Log'!$C$5:$C$304,"&lt;="&amp;K$5,'Leave Log'!$D$5:$D$304,"&gt;="&amp;K$5,'Leave Log'!$F$5:$F$304,"&lt;&gt;Rejected",'Leave Log'!$B$5:$B$304,"SL")&gt;0,"SL",IF(COUNTIFS('Leave Log'!$A$5:$A$304,$A24,'Leave Log'!$C$5:$C$304,"&lt;="&amp;K$5,'Leave Log'!$D$5:$D$304,"&gt;="&amp;K$5,'Leave Log'!$F$5:$F$304,"&lt;&gt;Rejected",'Leave Log'!$B$5:$B$304,"CL")&gt;0,"CL",IF(COUNTIFS('Leave Log'!$A$5:$A$304,$A24,'Leave Log'!$C$5:$C$304,"&lt;="&amp;K$5,'Leave Log'!$D$5:$D$304,"&gt;="&amp;K$5,'Leave Log'!$F$5:$F$304,"&lt;&gt;Rejected",'Leave Log'!$B$5:$B$304,"UL")&gt;0,"UL",IF(COUNTIFS('Leave Log'!$A$5:$A$304,$A24,'Leave Log'!$C$5:$C$304,"&lt;="&amp;K$5,'Leave Log'!$D$5:$D$304,"&gt;="&amp;K$5,'Leave Log'!$F$5:$F$304,"&lt;&gt;Rejected",'Leave Log'!$B$5:$B$304,"OT")&gt;0,"OT",""))))))</f>
        <v/>
      </c>
      <c r="L24" s="12" t="str">
        <f aca="false">IF(OR(L$5="",$A24=""),"",IF(COUNTIFS('Leave Log'!$A$5:$A$304,$A24,'Leave Log'!$C$5:$C$304,"&lt;="&amp;L$5,'Leave Log'!$D$5:$D$304,"&gt;="&amp;L$5,'Leave Log'!$F$5:$F$304,"&lt;&gt;Rejected",'Leave Log'!$B$5:$B$304,"AL")&gt;0,"AL",IF(COUNTIFS('Leave Log'!$A$5:$A$304,$A24,'Leave Log'!$C$5:$C$304,"&lt;="&amp;L$5,'Leave Log'!$D$5:$D$304,"&gt;="&amp;L$5,'Leave Log'!$F$5:$F$304,"&lt;&gt;Rejected",'Leave Log'!$B$5:$B$304,"SL")&gt;0,"SL",IF(COUNTIFS('Leave Log'!$A$5:$A$304,$A24,'Leave Log'!$C$5:$C$304,"&lt;="&amp;L$5,'Leave Log'!$D$5:$D$304,"&gt;="&amp;L$5,'Leave Log'!$F$5:$F$304,"&lt;&gt;Rejected",'Leave Log'!$B$5:$B$304,"CL")&gt;0,"CL",IF(COUNTIFS('Leave Log'!$A$5:$A$304,$A24,'Leave Log'!$C$5:$C$304,"&lt;="&amp;L$5,'Leave Log'!$D$5:$D$304,"&gt;="&amp;L$5,'Leave Log'!$F$5:$F$304,"&lt;&gt;Rejected",'Leave Log'!$B$5:$B$304,"UL")&gt;0,"UL",IF(COUNTIFS('Leave Log'!$A$5:$A$304,$A24,'Leave Log'!$C$5:$C$304,"&lt;="&amp;L$5,'Leave Log'!$D$5:$D$304,"&gt;="&amp;L$5,'Leave Log'!$F$5:$F$304,"&lt;&gt;Rejected",'Leave Log'!$B$5:$B$304,"OT")&gt;0,"OT",""))))))</f>
        <v/>
      </c>
      <c r="M24" s="12" t="str">
        <f aca="false">IF(OR(M$5="",$A24=""),"",IF(COUNTIFS('Leave Log'!$A$5:$A$304,$A24,'Leave Log'!$C$5:$C$304,"&lt;="&amp;M$5,'Leave Log'!$D$5:$D$304,"&gt;="&amp;M$5,'Leave Log'!$F$5:$F$304,"&lt;&gt;Rejected",'Leave Log'!$B$5:$B$304,"AL")&gt;0,"AL",IF(COUNTIFS('Leave Log'!$A$5:$A$304,$A24,'Leave Log'!$C$5:$C$304,"&lt;="&amp;M$5,'Leave Log'!$D$5:$D$304,"&gt;="&amp;M$5,'Leave Log'!$F$5:$F$304,"&lt;&gt;Rejected",'Leave Log'!$B$5:$B$304,"SL")&gt;0,"SL",IF(COUNTIFS('Leave Log'!$A$5:$A$304,$A24,'Leave Log'!$C$5:$C$304,"&lt;="&amp;M$5,'Leave Log'!$D$5:$D$304,"&gt;="&amp;M$5,'Leave Log'!$F$5:$F$304,"&lt;&gt;Rejected",'Leave Log'!$B$5:$B$304,"CL")&gt;0,"CL",IF(COUNTIFS('Leave Log'!$A$5:$A$304,$A24,'Leave Log'!$C$5:$C$304,"&lt;="&amp;M$5,'Leave Log'!$D$5:$D$304,"&gt;="&amp;M$5,'Leave Log'!$F$5:$F$304,"&lt;&gt;Rejected",'Leave Log'!$B$5:$B$304,"UL")&gt;0,"UL",IF(COUNTIFS('Leave Log'!$A$5:$A$304,$A24,'Leave Log'!$C$5:$C$304,"&lt;="&amp;M$5,'Leave Log'!$D$5:$D$304,"&gt;="&amp;M$5,'Leave Log'!$F$5:$F$304,"&lt;&gt;Rejected",'Leave Log'!$B$5:$B$304,"OT")&gt;0,"OT",""))))))</f>
        <v/>
      </c>
      <c r="N24" s="12" t="str">
        <f aca="false">IF(OR(N$5="",$A24=""),"",IF(COUNTIFS('Leave Log'!$A$5:$A$304,$A24,'Leave Log'!$C$5:$C$304,"&lt;="&amp;N$5,'Leave Log'!$D$5:$D$304,"&gt;="&amp;N$5,'Leave Log'!$F$5:$F$304,"&lt;&gt;Rejected",'Leave Log'!$B$5:$B$304,"AL")&gt;0,"AL",IF(COUNTIFS('Leave Log'!$A$5:$A$304,$A24,'Leave Log'!$C$5:$C$304,"&lt;="&amp;N$5,'Leave Log'!$D$5:$D$304,"&gt;="&amp;N$5,'Leave Log'!$F$5:$F$304,"&lt;&gt;Rejected",'Leave Log'!$B$5:$B$304,"SL")&gt;0,"SL",IF(COUNTIFS('Leave Log'!$A$5:$A$304,$A24,'Leave Log'!$C$5:$C$304,"&lt;="&amp;N$5,'Leave Log'!$D$5:$D$304,"&gt;="&amp;N$5,'Leave Log'!$F$5:$F$304,"&lt;&gt;Rejected",'Leave Log'!$B$5:$B$304,"CL")&gt;0,"CL",IF(COUNTIFS('Leave Log'!$A$5:$A$304,$A24,'Leave Log'!$C$5:$C$304,"&lt;="&amp;N$5,'Leave Log'!$D$5:$D$304,"&gt;="&amp;N$5,'Leave Log'!$F$5:$F$304,"&lt;&gt;Rejected",'Leave Log'!$B$5:$B$304,"UL")&gt;0,"UL",IF(COUNTIFS('Leave Log'!$A$5:$A$304,$A24,'Leave Log'!$C$5:$C$304,"&lt;="&amp;N$5,'Leave Log'!$D$5:$D$304,"&gt;="&amp;N$5,'Leave Log'!$F$5:$F$304,"&lt;&gt;Rejected",'Leave Log'!$B$5:$B$304,"OT")&gt;0,"OT",""))))))</f>
        <v/>
      </c>
      <c r="O24" s="12" t="str">
        <f aca="false">IF(OR(O$5="",$A24=""),"",IF(COUNTIFS('Leave Log'!$A$5:$A$304,$A24,'Leave Log'!$C$5:$C$304,"&lt;="&amp;O$5,'Leave Log'!$D$5:$D$304,"&gt;="&amp;O$5,'Leave Log'!$F$5:$F$304,"&lt;&gt;Rejected",'Leave Log'!$B$5:$B$304,"AL")&gt;0,"AL",IF(COUNTIFS('Leave Log'!$A$5:$A$304,$A24,'Leave Log'!$C$5:$C$304,"&lt;="&amp;O$5,'Leave Log'!$D$5:$D$304,"&gt;="&amp;O$5,'Leave Log'!$F$5:$F$304,"&lt;&gt;Rejected",'Leave Log'!$B$5:$B$304,"SL")&gt;0,"SL",IF(COUNTIFS('Leave Log'!$A$5:$A$304,$A24,'Leave Log'!$C$5:$C$304,"&lt;="&amp;O$5,'Leave Log'!$D$5:$D$304,"&gt;="&amp;O$5,'Leave Log'!$F$5:$F$304,"&lt;&gt;Rejected",'Leave Log'!$B$5:$B$304,"CL")&gt;0,"CL",IF(COUNTIFS('Leave Log'!$A$5:$A$304,$A24,'Leave Log'!$C$5:$C$304,"&lt;="&amp;O$5,'Leave Log'!$D$5:$D$304,"&gt;="&amp;O$5,'Leave Log'!$F$5:$F$304,"&lt;&gt;Rejected",'Leave Log'!$B$5:$B$304,"UL")&gt;0,"UL",IF(COUNTIFS('Leave Log'!$A$5:$A$304,$A24,'Leave Log'!$C$5:$C$304,"&lt;="&amp;O$5,'Leave Log'!$D$5:$D$304,"&gt;="&amp;O$5,'Leave Log'!$F$5:$F$304,"&lt;&gt;Rejected",'Leave Log'!$B$5:$B$304,"OT")&gt;0,"OT",""))))))</f>
        <v/>
      </c>
      <c r="P24" s="12" t="str">
        <f aca="false">IF(OR(P$5="",$A24=""),"",IF(COUNTIFS('Leave Log'!$A$5:$A$304,$A24,'Leave Log'!$C$5:$C$304,"&lt;="&amp;P$5,'Leave Log'!$D$5:$D$304,"&gt;="&amp;P$5,'Leave Log'!$F$5:$F$304,"&lt;&gt;Rejected",'Leave Log'!$B$5:$B$304,"AL")&gt;0,"AL",IF(COUNTIFS('Leave Log'!$A$5:$A$304,$A24,'Leave Log'!$C$5:$C$304,"&lt;="&amp;P$5,'Leave Log'!$D$5:$D$304,"&gt;="&amp;P$5,'Leave Log'!$F$5:$F$304,"&lt;&gt;Rejected",'Leave Log'!$B$5:$B$304,"SL")&gt;0,"SL",IF(COUNTIFS('Leave Log'!$A$5:$A$304,$A24,'Leave Log'!$C$5:$C$304,"&lt;="&amp;P$5,'Leave Log'!$D$5:$D$304,"&gt;="&amp;P$5,'Leave Log'!$F$5:$F$304,"&lt;&gt;Rejected",'Leave Log'!$B$5:$B$304,"CL")&gt;0,"CL",IF(COUNTIFS('Leave Log'!$A$5:$A$304,$A24,'Leave Log'!$C$5:$C$304,"&lt;="&amp;P$5,'Leave Log'!$D$5:$D$304,"&gt;="&amp;P$5,'Leave Log'!$F$5:$F$304,"&lt;&gt;Rejected",'Leave Log'!$B$5:$B$304,"UL")&gt;0,"UL",IF(COUNTIFS('Leave Log'!$A$5:$A$304,$A24,'Leave Log'!$C$5:$C$304,"&lt;="&amp;P$5,'Leave Log'!$D$5:$D$304,"&gt;="&amp;P$5,'Leave Log'!$F$5:$F$304,"&lt;&gt;Rejected",'Leave Log'!$B$5:$B$304,"OT")&gt;0,"OT",""))))))</f>
        <v/>
      </c>
      <c r="Q24" s="12" t="str">
        <f aca="false">IF(OR(Q$5="",$A24=""),"",IF(COUNTIFS('Leave Log'!$A$5:$A$304,$A24,'Leave Log'!$C$5:$C$304,"&lt;="&amp;Q$5,'Leave Log'!$D$5:$D$304,"&gt;="&amp;Q$5,'Leave Log'!$F$5:$F$304,"&lt;&gt;Rejected",'Leave Log'!$B$5:$B$304,"AL")&gt;0,"AL",IF(COUNTIFS('Leave Log'!$A$5:$A$304,$A24,'Leave Log'!$C$5:$C$304,"&lt;="&amp;Q$5,'Leave Log'!$D$5:$D$304,"&gt;="&amp;Q$5,'Leave Log'!$F$5:$F$304,"&lt;&gt;Rejected",'Leave Log'!$B$5:$B$304,"SL")&gt;0,"SL",IF(COUNTIFS('Leave Log'!$A$5:$A$304,$A24,'Leave Log'!$C$5:$C$304,"&lt;="&amp;Q$5,'Leave Log'!$D$5:$D$304,"&gt;="&amp;Q$5,'Leave Log'!$F$5:$F$304,"&lt;&gt;Rejected",'Leave Log'!$B$5:$B$304,"CL")&gt;0,"CL",IF(COUNTIFS('Leave Log'!$A$5:$A$304,$A24,'Leave Log'!$C$5:$C$304,"&lt;="&amp;Q$5,'Leave Log'!$D$5:$D$304,"&gt;="&amp;Q$5,'Leave Log'!$F$5:$F$304,"&lt;&gt;Rejected",'Leave Log'!$B$5:$B$304,"UL")&gt;0,"UL",IF(COUNTIFS('Leave Log'!$A$5:$A$304,$A24,'Leave Log'!$C$5:$C$304,"&lt;="&amp;Q$5,'Leave Log'!$D$5:$D$304,"&gt;="&amp;Q$5,'Leave Log'!$F$5:$F$304,"&lt;&gt;Rejected",'Leave Log'!$B$5:$B$304,"OT")&gt;0,"OT",""))))))</f>
        <v/>
      </c>
      <c r="R24" s="12" t="str">
        <f aca="false">IF(OR(R$5="",$A24=""),"",IF(COUNTIFS('Leave Log'!$A$5:$A$304,$A24,'Leave Log'!$C$5:$C$304,"&lt;="&amp;R$5,'Leave Log'!$D$5:$D$304,"&gt;="&amp;R$5,'Leave Log'!$F$5:$F$304,"&lt;&gt;Rejected",'Leave Log'!$B$5:$B$304,"AL")&gt;0,"AL",IF(COUNTIFS('Leave Log'!$A$5:$A$304,$A24,'Leave Log'!$C$5:$C$304,"&lt;="&amp;R$5,'Leave Log'!$D$5:$D$304,"&gt;="&amp;R$5,'Leave Log'!$F$5:$F$304,"&lt;&gt;Rejected",'Leave Log'!$B$5:$B$304,"SL")&gt;0,"SL",IF(COUNTIFS('Leave Log'!$A$5:$A$304,$A24,'Leave Log'!$C$5:$C$304,"&lt;="&amp;R$5,'Leave Log'!$D$5:$D$304,"&gt;="&amp;R$5,'Leave Log'!$F$5:$F$304,"&lt;&gt;Rejected",'Leave Log'!$B$5:$B$304,"CL")&gt;0,"CL",IF(COUNTIFS('Leave Log'!$A$5:$A$304,$A24,'Leave Log'!$C$5:$C$304,"&lt;="&amp;R$5,'Leave Log'!$D$5:$D$304,"&gt;="&amp;R$5,'Leave Log'!$F$5:$F$304,"&lt;&gt;Rejected",'Leave Log'!$B$5:$B$304,"UL")&gt;0,"UL",IF(COUNTIFS('Leave Log'!$A$5:$A$304,$A24,'Leave Log'!$C$5:$C$304,"&lt;="&amp;R$5,'Leave Log'!$D$5:$D$304,"&gt;="&amp;R$5,'Leave Log'!$F$5:$F$304,"&lt;&gt;Rejected",'Leave Log'!$B$5:$B$304,"OT")&gt;0,"OT",""))))))</f>
        <v/>
      </c>
      <c r="S24" s="12" t="str">
        <f aca="false">IF(OR(S$5="",$A24=""),"",IF(COUNTIFS('Leave Log'!$A$5:$A$304,$A24,'Leave Log'!$C$5:$C$304,"&lt;="&amp;S$5,'Leave Log'!$D$5:$D$304,"&gt;="&amp;S$5,'Leave Log'!$F$5:$F$304,"&lt;&gt;Rejected",'Leave Log'!$B$5:$B$304,"AL")&gt;0,"AL",IF(COUNTIFS('Leave Log'!$A$5:$A$304,$A24,'Leave Log'!$C$5:$C$304,"&lt;="&amp;S$5,'Leave Log'!$D$5:$D$304,"&gt;="&amp;S$5,'Leave Log'!$F$5:$F$304,"&lt;&gt;Rejected",'Leave Log'!$B$5:$B$304,"SL")&gt;0,"SL",IF(COUNTIFS('Leave Log'!$A$5:$A$304,$A24,'Leave Log'!$C$5:$C$304,"&lt;="&amp;S$5,'Leave Log'!$D$5:$D$304,"&gt;="&amp;S$5,'Leave Log'!$F$5:$F$304,"&lt;&gt;Rejected",'Leave Log'!$B$5:$B$304,"CL")&gt;0,"CL",IF(COUNTIFS('Leave Log'!$A$5:$A$304,$A24,'Leave Log'!$C$5:$C$304,"&lt;="&amp;S$5,'Leave Log'!$D$5:$D$304,"&gt;="&amp;S$5,'Leave Log'!$F$5:$F$304,"&lt;&gt;Rejected",'Leave Log'!$B$5:$B$304,"UL")&gt;0,"UL",IF(COUNTIFS('Leave Log'!$A$5:$A$304,$A24,'Leave Log'!$C$5:$C$304,"&lt;="&amp;S$5,'Leave Log'!$D$5:$D$304,"&gt;="&amp;S$5,'Leave Log'!$F$5:$F$304,"&lt;&gt;Rejected",'Leave Log'!$B$5:$B$304,"OT")&gt;0,"OT",""))))))</f>
        <v/>
      </c>
      <c r="T24" s="12" t="str">
        <f aca="false">IF(OR(T$5="",$A24=""),"",IF(COUNTIFS('Leave Log'!$A$5:$A$304,$A24,'Leave Log'!$C$5:$C$304,"&lt;="&amp;T$5,'Leave Log'!$D$5:$D$304,"&gt;="&amp;T$5,'Leave Log'!$F$5:$F$304,"&lt;&gt;Rejected",'Leave Log'!$B$5:$B$304,"AL")&gt;0,"AL",IF(COUNTIFS('Leave Log'!$A$5:$A$304,$A24,'Leave Log'!$C$5:$C$304,"&lt;="&amp;T$5,'Leave Log'!$D$5:$D$304,"&gt;="&amp;T$5,'Leave Log'!$F$5:$F$304,"&lt;&gt;Rejected",'Leave Log'!$B$5:$B$304,"SL")&gt;0,"SL",IF(COUNTIFS('Leave Log'!$A$5:$A$304,$A24,'Leave Log'!$C$5:$C$304,"&lt;="&amp;T$5,'Leave Log'!$D$5:$D$304,"&gt;="&amp;T$5,'Leave Log'!$F$5:$F$304,"&lt;&gt;Rejected",'Leave Log'!$B$5:$B$304,"CL")&gt;0,"CL",IF(COUNTIFS('Leave Log'!$A$5:$A$304,$A24,'Leave Log'!$C$5:$C$304,"&lt;="&amp;T$5,'Leave Log'!$D$5:$D$304,"&gt;="&amp;T$5,'Leave Log'!$F$5:$F$304,"&lt;&gt;Rejected",'Leave Log'!$B$5:$B$304,"UL")&gt;0,"UL",IF(COUNTIFS('Leave Log'!$A$5:$A$304,$A24,'Leave Log'!$C$5:$C$304,"&lt;="&amp;T$5,'Leave Log'!$D$5:$D$304,"&gt;="&amp;T$5,'Leave Log'!$F$5:$F$304,"&lt;&gt;Rejected",'Leave Log'!$B$5:$B$304,"OT")&gt;0,"OT",""))))))</f>
        <v/>
      </c>
      <c r="U24" s="12" t="str">
        <f aca="false">IF(OR(U$5="",$A24=""),"",IF(COUNTIFS('Leave Log'!$A$5:$A$304,$A24,'Leave Log'!$C$5:$C$304,"&lt;="&amp;U$5,'Leave Log'!$D$5:$D$304,"&gt;="&amp;U$5,'Leave Log'!$F$5:$F$304,"&lt;&gt;Rejected",'Leave Log'!$B$5:$B$304,"AL")&gt;0,"AL",IF(COUNTIFS('Leave Log'!$A$5:$A$304,$A24,'Leave Log'!$C$5:$C$304,"&lt;="&amp;U$5,'Leave Log'!$D$5:$D$304,"&gt;="&amp;U$5,'Leave Log'!$F$5:$F$304,"&lt;&gt;Rejected",'Leave Log'!$B$5:$B$304,"SL")&gt;0,"SL",IF(COUNTIFS('Leave Log'!$A$5:$A$304,$A24,'Leave Log'!$C$5:$C$304,"&lt;="&amp;U$5,'Leave Log'!$D$5:$D$304,"&gt;="&amp;U$5,'Leave Log'!$F$5:$F$304,"&lt;&gt;Rejected",'Leave Log'!$B$5:$B$304,"CL")&gt;0,"CL",IF(COUNTIFS('Leave Log'!$A$5:$A$304,$A24,'Leave Log'!$C$5:$C$304,"&lt;="&amp;U$5,'Leave Log'!$D$5:$D$304,"&gt;="&amp;U$5,'Leave Log'!$F$5:$F$304,"&lt;&gt;Rejected",'Leave Log'!$B$5:$B$304,"UL")&gt;0,"UL",IF(COUNTIFS('Leave Log'!$A$5:$A$304,$A24,'Leave Log'!$C$5:$C$304,"&lt;="&amp;U$5,'Leave Log'!$D$5:$D$304,"&gt;="&amp;U$5,'Leave Log'!$F$5:$F$304,"&lt;&gt;Rejected",'Leave Log'!$B$5:$B$304,"OT")&gt;0,"OT",""))))))</f>
        <v/>
      </c>
      <c r="V24" s="12" t="str">
        <f aca="false">IF(OR(V$5="",$A24=""),"",IF(COUNTIFS('Leave Log'!$A$5:$A$304,$A24,'Leave Log'!$C$5:$C$304,"&lt;="&amp;V$5,'Leave Log'!$D$5:$D$304,"&gt;="&amp;V$5,'Leave Log'!$F$5:$F$304,"&lt;&gt;Rejected",'Leave Log'!$B$5:$B$304,"AL")&gt;0,"AL",IF(COUNTIFS('Leave Log'!$A$5:$A$304,$A24,'Leave Log'!$C$5:$C$304,"&lt;="&amp;V$5,'Leave Log'!$D$5:$D$304,"&gt;="&amp;V$5,'Leave Log'!$F$5:$F$304,"&lt;&gt;Rejected",'Leave Log'!$B$5:$B$304,"SL")&gt;0,"SL",IF(COUNTIFS('Leave Log'!$A$5:$A$304,$A24,'Leave Log'!$C$5:$C$304,"&lt;="&amp;V$5,'Leave Log'!$D$5:$D$304,"&gt;="&amp;V$5,'Leave Log'!$F$5:$F$304,"&lt;&gt;Rejected",'Leave Log'!$B$5:$B$304,"CL")&gt;0,"CL",IF(COUNTIFS('Leave Log'!$A$5:$A$304,$A24,'Leave Log'!$C$5:$C$304,"&lt;="&amp;V$5,'Leave Log'!$D$5:$D$304,"&gt;="&amp;V$5,'Leave Log'!$F$5:$F$304,"&lt;&gt;Rejected",'Leave Log'!$B$5:$B$304,"UL")&gt;0,"UL",IF(COUNTIFS('Leave Log'!$A$5:$A$304,$A24,'Leave Log'!$C$5:$C$304,"&lt;="&amp;V$5,'Leave Log'!$D$5:$D$304,"&gt;="&amp;V$5,'Leave Log'!$F$5:$F$304,"&lt;&gt;Rejected",'Leave Log'!$B$5:$B$304,"OT")&gt;0,"OT",""))))))</f>
        <v/>
      </c>
      <c r="W24" s="12" t="str">
        <f aca="false">IF(OR(W$5="",$A24=""),"",IF(COUNTIFS('Leave Log'!$A$5:$A$304,$A24,'Leave Log'!$C$5:$C$304,"&lt;="&amp;W$5,'Leave Log'!$D$5:$D$304,"&gt;="&amp;W$5,'Leave Log'!$F$5:$F$304,"&lt;&gt;Rejected",'Leave Log'!$B$5:$B$304,"AL")&gt;0,"AL",IF(COUNTIFS('Leave Log'!$A$5:$A$304,$A24,'Leave Log'!$C$5:$C$304,"&lt;="&amp;W$5,'Leave Log'!$D$5:$D$304,"&gt;="&amp;W$5,'Leave Log'!$F$5:$F$304,"&lt;&gt;Rejected",'Leave Log'!$B$5:$B$304,"SL")&gt;0,"SL",IF(COUNTIFS('Leave Log'!$A$5:$A$304,$A24,'Leave Log'!$C$5:$C$304,"&lt;="&amp;W$5,'Leave Log'!$D$5:$D$304,"&gt;="&amp;W$5,'Leave Log'!$F$5:$F$304,"&lt;&gt;Rejected",'Leave Log'!$B$5:$B$304,"CL")&gt;0,"CL",IF(COUNTIFS('Leave Log'!$A$5:$A$304,$A24,'Leave Log'!$C$5:$C$304,"&lt;="&amp;W$5,'Leave Log'!$D$5:$D$304,"&gt;="&amp;W$5,'Leave Log'!$F$5:$F$304,"&lt;&gt;Rejected",'Leave Log'!$B$5:$B$304,"UL")&gt;0,"UL",IF(COUNTIFS('Leave Log'!$A$5:$A$304,$A24,'Leave Log'!$C$5:$C$304,"&lt;="&amp;W$5,'Leave Log'!$D$5:$D$304,"&gt;="&amp;W$5,'Leave Log'!$F$5:$F$304,"&lt;&gt;Rejected",'Leave Log'!$B$5:$B$304,"OT")&gt;0,"OT",""))))))</f>
        <v/>
      </c>
      <c r="X24" s="12" t="str">
        <f aca="false">IF(OR(X$5="",$A24=""),"",IF(COUNTIFS('Leave Log'!$A$5:$A$304,$A24,'Leave Log'!$C$5:$C$304,"&lt;="&amp;X$5,'Leave Log'!$D$5:$D$304,"&gt;="&amp;X$5,'Leave Log'!$F$5:$F$304,"&lt;&gt;Rejected",'Leave Log'!$B$5:$B$304,"AL")&gt;0,"AL",IF(COUNTIFS('Leave Log'!$A$5:$A$304,$A24,'Leave Log'!$C$5:$C$304,"&lt;="&amp;X$5,'Leave Log'!$D$5:$D$304,"&gt;="&amp;X$5,'Leave Log'!$F$5:$F$304,"&lt;&gt;Rejected",'Leave Log'!$B$5:$B$304,"SL")&gt;0,"SL",IF(COUNTIFS('Leave Log'!$A$5:$A$304,$A24,'Leave Log'!$C$5:$C$304,"&lt;="&amp;X$5,'Leave Log'!$D$5:$D$304,"&gt;="&amp;X$5,'Leave Log'!$F$5:$F$304,"&lt;&gt;Rejected",'Leave Log'!$B$5:$B$304,"CL")&gt;0,"CL",IF(COUNTIFS('Leave Log'!$A$5:$A$304,$A24,'Leave Log'!$C$5:$C$304,"&lt;="&amp;X$5,'Leave Log'!$D$5:$D$304,"&gt;="&amp;X$5,'Leave Log'!$F$5:$F$304,"&lt;&gt;Rejected",'Leave Log'!$B$5:$B$304,"UL")&gt;0,"UL",IF(COUNTIFS('Leave Log'!$A$5:$A$304,$A24,'Leave Log'!$C$5:$C$304,"&lt;="&amp;X$5,'Leave Log'!$D$5:$D$304,"&gt;="&amp;X$5,'Leave Log'!$F$5:$F$304,"&lt;&gt;Rejected",'Leave Log'!$B$5:$B$304,"OT")&gt;0,"OT",""))))))</f>
        <v/>
      </c>
      <c r="Y24" s="12" t="str">
        <f aca="false">IF(OR(Y$5="",$A24=""),"",IF(COUNTIFS('Leave Log'!$A$5:$A$304,$A24,'Leave Log'!$C$5:$C$304,"&lt;="&amp;Y$5,'Leave Log'!$D$5:$D$304,"&gt;="&amp;Y$5,'Leave Log'!$F$5:$F$304,"&lt;&gt;Rejected",'Leave Log'!$B$5:$B$304,"AL")&gt;0,"AL",IF(COUNTIFS('Leave Log'!$A$5:$A$304,$A24,'Leave Log'!$C$5:$C$304,"&lt;="&amp;Y$5,'Leave Log'!$D$5:$D$304,"&gt;="&amp;Y$5,'Leave Log'!$F$5:$F$304,"&lt;&gt;Rejected",'Leave Log'!$B$5:$B$304,"SL")&gt;0,"SL",IF(COUNTIFS('Leave Log'!$A$5:$A$304,$A24,'Leave Log'!$C$5:$C$304,"&lt;="&amp;Y$5,'Leave Log'!$D$5:$D$304,"&gt;="&amp;Y$5,'Leave Log'!$F$5:$F$304,"&lt;&gt;Rejected",'Leave Log'!$B$5:$B$304,"CL")&gt;0,"CL",IF(COUNTIFS('Leave Log'!$A$5:$A$304,$A24,'Leave Log'!$C$5:$C$304,"&lt;="&amp;Y$5,'Leave Log'!$D$5:$D$304,"&gt;="&amp;Y$5,'Leave Log'!$F$5:$F$304,"&lt;&gt;Rejected",'Leave Log'!$B$5:$B$304,"UL")&gt;0,"UL",IF(COUNTIFS('Leave Log'!$A$5:$A$304,$A24,'Leave Log'!$C$5:$C$304,"&lt;="&amp;Y$5,'Leave Log'!$D$5:$D$304,"&gt;="&amp;Y$5,'Leave Log'!$F$5:$F$304,"&lt;&gt;Rejected",'Leave Log'!$B$5:$B$304,"OT")&gt;0,"OT",""))))))</f>
        <v/>
      </c>
      <c r="Z24" s="12" t="str">
        <f aca="false">IF(OR(Z$5="",$A24=""),"",IF(COUNTIFS('Leave Log'!$A$5:$A$304,$A24,'Leave Log'!$C$5:$C$304,"&lt;="&amp;Z$5,'Leave Log'!$D$5:$D$304,"&gt;="&amp;Z$5,'Leave Log'!$F$5:$F$304,"&lt;&gt;Rejected",'Leave Log'!$B$5:$B$304,"AL")&gt;0,"AL",IF(COUNTIFS('Leave Log'!$A$5:$A$304,$A24,'Leave Log'!$C$5:$C$304,"&lt;="&amp;Z$5,'Leave Log'!$D$5:$D$304,"&gt;="&amp;Z$5,'Leave Log'!$F$5:$F$304,"&lt;&gt;Rejected",'Leave Log'!$B$5:$B$304,"SL")&gt;0,"SL",IF(COUNTIFS('Leave Log'!$A$5:$A$304,$A24,'Leave Log'!$C$5:$C$304,"&lt;="&amp;Z$5,'Leave Log'!$D$5:$D$304,"&gt;="&amp;Z$5,'Leave Log'!$F$5:$F$304,"&lt;&gt;Rejected",'Leave Log'!$B$5:$B$304,"CL")&gt;0,"CL",IF(COUNTIFS('Leave Log'!$A$5:$A$304,$A24,'Leave Log'!$C$5:$C$304,"&lt;="&amp;Z$5,'Leave Log'!$D$5:$D$304,"&gt;="&amp;Z$5,'Leave Log'!$F$5:$F$304,"&lt;&gt;Rejected",'Leave Log'!$B$5:$B$304,"UL")&gt;0,"UL",IF(COUNTIFS('Leave Log'!$A$5:$A$304,$A24,'Leave Log'!$C$5:$C$304,"&lt;="&amp;Z$5,'Leave Log'!$D$5:$D$304,"&gt;="&amp;Z$5,'Leave Log'!$F$5:$F$304,"&lt;&gt;Rejected",'Leave Log'!$B$5:$B$304,"OT")&gt;0,"OT",""))))))</f>
        <v/>
      </c>
      <c r="AA24" s="12" t="str">
        <f aca="false">IF(OR(AA$5="",$A24=""),"",IF(COUNTIFS('Leave Log'!$A$5:$A$304,$A24,'Leave Log'!$C$5:$C$304,"&lt;="&amp;AA$5,'Leave Log'!$D$5:$D$304,"&gt;="&amp;AA$5,'Leave Log'!$F$5:$F$304,"&lt;&gt;Rejected",'Leave Log'!$B$5:$B$304,"AL")&gt;0,"AL",IF(COUNTIFS('Leave Log'!$A$5:$A$304,$A24,'Leave Log'!$C$5:$C$304,"&lt;="&amp;AA$5,'Leave Log'!$D$5:$D$304,"&gt;="&amp;AA$5,'Leave Log'!$F$5:$F$304,"&lt;&gt;Rejected",'Leave Log'!$B$5:$B$304,"SL")&gt;0,"SL",IF(COUNTIFS('Leave Log'!$A$5:$A$304,$A24,'Leave Log'!$C$5:$C$304,"&lt;="&amp;AA$5,'Leave Log'!$D$5:$D$304,"&gt;="&amp;AA$5,'Leave Log'!$F$5:$F$304,"&lt;&gt;Rejected",'Leave Log'!$B$5:$B$304,"CL")&gt;0,"CL",IF(COUNTIFS('Leave Log'!$A$5:$A$304,$A24,'Leave Log'!$C$5:$C$304,"&lt;="&amp;AA$5,'Leave Log'!$D$5:$D$304,"&gt;="&amp;AA$5,'Leave Log'!$F$5:$F$304,"&lt;&gt;Rejected",'Leave Log'!$B$5:$B$304,"UL")&gt;0,"UL",IF(COUNTIFS('Leave Log'!$A$5:$A$304,$A24,'Leave Log'!$C$5:$C$304,"&lt;="&amp;AA$5,'Leave Log'!$D$5:$D$304,"&gt;="&amp;AA$5,'Leave Log'!$F$5:$F$304,"&lt;&gt;Rejected",'Leave Log'!$B$5:$B$304,"OT")&gt;0,"OT",""))))))</f>
        <v/>
      </c>
      <c r="AB24" s="12" t="str">
        <f aca="false">IF(OR(AB$5="",$A24=""),"",IF(COUNTIFS('Leave Log'!$A$5:$A$304,$A24,'Leave Log'!$C$5:$C$304,"&lt;="&amp;AB$5,'Leave Log'!$D$5:$D$304,"&gt;="&amp;AB$5,'Leave Log'!$F$5:$F$304,"&lt;&gt;Rejected",'Leave Log'!$B$5:$B$304,"AL")&gt;0,"AL",IF(COUNTIFS('Leave Log'!$A$5:$A$304,$A24,'Leave Log'!$C$5:$C$304,"&lt;="&amp;AB$5,'Leave Log'!$D$5:$D$304,"&gt;="&amp;AB$5,'Leave Log'!$F$5:$F$304,"&lt;&gt;Rejected",'Leave Log'!$B$5:$B$304,"SL")&gt;0,"SL",IF(COUNTIFS('Leave Log'!$A$5:$A$304,$A24,'Leave Log'!$C$5:$C$304,"&lt;="&amp;AB$5,'Leave Log'!$D$5:$D$304,"&gt;="&amp;AB$5,'Leave Log'!$F$5:$F$304,"&lt;&gt;Rejected",'Leave Log'!$B$5:$B$304,"CL")&gt;0,"CL",IF(COUNTIFS('Leave Log'!$A$5:$A$304,$A24,'Leave Log'!$C$5:$C$304,"&lt;="&amp;AB$5,'Leave Log'!$D$5:$D$304,"&gt;="&amp;AB$5,'Leave Log'!$F$5:$F$304,"&lt;&gt;Rejected",'Leave Log'!$B$5:$B$304,"UL")&gt;0,"UL",IF(COUNTIFS('Leave Log'!$A$5:$A$304,$A24,'Leave Log'!$C$5:$C$304,"&lt;="&amp;AB$5,'Leave Log'!$D$5:$D$304,"&gt;="&amp;AB$5,'Leave Log'!$F$5:$F$304,"&lt;&gt;Rejected",'Leave Log'!$B$5:$B$304,"OT")&gt;0,"OT",""))))))</f>
        <v/>
      </c>
      <c r="AC24" s="12" t="str">
        <f aca="false">IF(OR(AC$5="",$A24=""),"",IF(COUNTIFS('Leave Log'!$A$5:$A$304,$A24,'Leave Log'!$C$5:$C$304,"&lt;="&amp;AC$5,'Leave Log'!$D$5:$D$304,"&gt;="&amp;AC$5,'Leave Log'!$F$5:$F$304,"&lt;&gt;Rejected",'Leave Log'!$B$5:$B$304,"AL")&gt;0,"AL",IF(COUNTIFS('Leave Log'!$A$5:$A$304,$A24,'Leave Log'!$C$5:$C$304,"&lt;="&amp;AC$5,'Leave Log'!$D$5:$D$304,"&gt;="&amp;AC$5,'Leave Log'!$F$5:$F$304,"&lt;&gt;Rejected",'Leave Log'!$B$5:$B$304,"SL")&gt;0,"SL",IF(COUNTIFS('Leave Log'!$A$5:$A$304,$A24,'Leave Log'!$C$5:$C$304,"&lt;="&amp;AC$5,'Leave Log'!$D$5:$D$304,"&gt;="&amp;AC$5,'Leave Log'!$F$5:$F$304,"&lt;&gt;Rejected",'Leave Log'!$B$5:$B$304,"CL")&gt;0,"CL",IF(COUNTIFS('Leave Log'!$A$5:$A$304,$A24,'Leave Log'!$C$5:$C$304,"&lt;="&amp;AC$5,'Leave Log'!$D$5:$D$304,"&gt;="&amp;AC$5,'Leave Log'!$F$5:$F$304,"&lt;&gt;Rejected",'Leave Log'!$B$5:$B$304,"UL")&gt;0,"UL",IF(COUNTIFS('Leave Log'!$A$5:$A$304,$A24,'Leave Log'!$C$5:$C$304,"&lt;="&amp;AC$5,'Leave Log'!$D$5:$D$304,"&gt;="&amp;AC$5,'Leave Log'!$F$5:$F$304,"&lt;&gt;Rejected",'Leave Log'!$B$5:$B$304,"OT")&gt;0,"OT",""))))))</f>
        <v/>
      </c>
      <c r="AD24" s="12" t="str">
        <f aca="false">IF(OR(AD$5="",$A24=""),"",IF(COUNTIFS('Leave Log'!$A$5:$A$304,$A24,'Leave Log'!$C$5:$C$304,"&lt;="&amp;AD$5,'Leave Log'!$D$5:$D$304,"&gt;="&amp;AD$5,'Leave Log'!$F$5:$F$304,"&lt;&gt;Rejected",'Leave Log'!$B$5:$B$304,"AL")&gt;0,"AL",IF(COUNTIFS('Leave Log'!$A$5:$A$304,$A24,'Leave Log'!$C$5:$C$304,"&lt;="&amp;AD$5,'Leave Log'!$D$5:$D$304,"&gt;="&amp;AD$5,'Leave Log'!$F$5:$F$304,"&lt;&gt;Rejected",'Leave Log'!$B$5:$B$304,"SL")&gt;0,"SL",IF(COUNTIFS('Leave Log'!$A$5:$A$304,$A24,'Leave Log'!$C$5:$C$304,"&lt;="&amp;AD$5,'Leave Log'!$D$5:$D$304,"&gt;="&amp;AD$5,'Leave Log'!$F$5:$F$304,"&lt;&gt;Rejected",'Leave Log'!$B$5:$B$304,"CL")&gt;0,"CL",IF(COUNTIFS('Leave Log'!$A$5:$A$304,$A24,'Leave Log'!$C$5:$C$304,"&lt;="&amp;AD$5,'Leave Log'!$D$5:$D$304,"&gt;="&amp;AD$5,'Leave Log'!$F$5:$F$304,"&lt;&gt;Rejected",'Leave Log'!$B$5:$B$304,"UL")&gt;0,"UL",IF(COUNTIFS('Leave Log'!$A$5:$A$304,$A24,'Leave Log'!$C$5:$C$304,"&lt;="&amp;AD$5,'Leave Log'!$D$5:$D$304,"&gt;="&amp;AD$5,'Leave Log'!$F$5:$F$304,"&lt;&gt;Rejected",'Leave Log'!$B$5:$B$304,"OT")&gt;0,"OT",""))))))</f>
        <v/>
      </c>
      <c r="AE24" s="12" t="str">
        <f aca="false">IF(OR(AE$5="",$A24=""),"",IF(COUNTIFS('Leave Log'!$A$5:$A$304,$A24,'Leave Log'!$C$5:$C$304,"&lt;="&amp;AE$5,'Leave Log'!$D$5:$D$304,"&gt;="&amp;AE$5,'Leave Log'!$F$5:$F$304,"&lt;&gt;Rejected",'Leave Log'!$B$5:$B$304,"AL")&gt;0,"AL",IF(COUNTIFS('Leave Log'!$A$5:$A$304,$A24,'Leave Log'!$C$5:$C$304,"&lt;="&amp;AE$5,'Leave Log'!$D$5:$D$304,"&gt;="&amp;AE$5,'Leave Log'!$F$5:$F$304,"&lt;&gt;Rejected",'Leave Log'!$B$5:$B$304,"SL")&gt;0,"SL",IF(COUNTIFS('Leave Log'!$A$5:$A$304,$A24,'Leave Log'!$C$5:$C$304,"&lt;="&amp;AE$5,'Leave Log'!$D$5:$D$304,"&gt;="&amp;AE$5,'Leave Log'!$F$5:$F$304,"&lt;&gt;Rejected",'Leave Log'!$B$5:$B$304,"CL")&gt;0,"CL",IF(COUNTIFS('Leave Log'!$A$5:$A$304,$A24,'Leave Log'!$C$5:$C$304,"&lt;="&amp;AE$5,'Leave Log'!$D$5:$D$304,"&gt;="&amp;AE$5,'Leave Log'!$F$5:$F$304,"&lt;&gt;Rejected",'Leave Log'!$B$5:$B$304,"UL")&gt;0,"UL",IF(COUNTIFS('Leave Log'!$A$5:$A$304,$A24,'Leave Log'!$C$5:$C$304,"&lt;="&amp;AE$5,'Leave Log'!$D$5:$D$304,"&gt;="&amp;AE$5,'Leave Log'!$F$5:$F$304,"&lt;&gt;Rejected",'Leave Log'!$B$5:$B$304,"OT")&gt;0,"OT",""))))))</f>
        <v/>
      </c>
      <c r="AF24" s="12" t="str">
        <f aca="false">IF(OR(AF$5="",$A24=""),"",IF(COUNTIFS('Leave Log'!$A$5:$A$304,$A24,'Leave Log'!$C$5:$C$304,"&lt;="&amp;AF$5,'Leave Log'!$D$5:$D$304,"&gt;="&amp;AF$5,'Leave Log'!$F$5:$F$304,"&lt;&gt;Rejected",'Leave Log'!$B$5:$B$304,"AL")&gt;0,"AL",IF(COUNTIFS('Leave Log'!$A$5:$A$304,$A24,'Leave Log'!$C$5:$C$304,"&lt;="&amp;AF$5,'Leave Log'!$D$5:$D$304,"&gt;="&amp;AF$5,'Leave Log'!$F$5:$F$304,"&lt;&gt;Rejected",'Leave Log'!$B$5:$B$304,"SL")&gt;0,"SL",IF(COUNTIFS('Leave Log'!$A$5:$A$304,$A24,'Leave Log'!$C$5:$C$304,"&lt;="&amp;AF$5,'Leave Log'!$D$5:$D$304,"&gt;="&amp;AF$5,'Leave Log'!$F$5:$F$304,"&lt;&gt;Rejected",'Leave Log'!$B$5:$B$304,"CL")&gt;0,"CL",IF(COUNTIFS('Leave Log'!$A$5:$A$304,$A24,'Leave Log'!$C$5:$C$304,"&lt;="&amp;AF$5,'Leave Log'!$D$5:$D$304,"&gt;="&amp;AF$5,'Leave Log'!$F$5:$F$304,"&lt;&gt;Rejected",'Leave Log'!$B$5:$B$304,"UL")&gt;0,"UL",IF(COUNTIFS('Leave Log'!$A$5:$A$304,$A24,'Leave Log'!$C$5:$C$304,"&lt;="&amp;AF$5,'Leave Log'!$D$5:$D$304,"&gt;="&amp;AF$5,'Leave Log'!$F$5:$F$304,"&lt;&gt;Rejected",'Leave Log'!$B$5:$B$304,"OT")&gt;0,"OT",""))))))</f>
        <v/>
      </c>
      <c r="AG24" s="12" t="str">
        <f aca="false">IF(OR(AG$5="",$A24=""),"",IF(COUNTIFS('Leave Log'!$A$5:$A$304,$A24,'Leave Log'!$C$5:$C$304,"&lt;="&amp;AG$5,'Leave Log'!$D$5:$D$304,"&gt;="&amp;AG$5,'Leave Log'!$F$5:$F$304,"&lt;&gt;Rejected",'Leave Log'!$B$5:$B$304,"AL")&gt;0,"AL",IF(COUNTIFS('Leave Log'!$A$5:$A$304,$A24,'Leave Log'!$C$5:$C$304,"&lt;="&amp;AG$5,'Leave Log'!$D$5:$D$304,"&gt;="&amp;AG$5,'Leave Log'!$F$5:$F$304,"&lt;&gt;Rejected",'Leave Log'!$B$5:$B$304,"SL")&gt;0,"SL",IF(COUNTIFS('Leave Log'!$A$5:$A$304,$A24,'Leave Log'!$C$5:$C$304,"&lt;="&amp;AG$5,'Leave Log'!$D$5:$D$304,"&gt;="&amp;AG$5,'Leave Log'!$F$5:$F$304,"&lt;&gt;Rejected",'Leave Log'!$B$5:$B$304,"CL")&gt;0,"CL",IF(COUNTIFS('Leave Log'!$A$5:$A$304,$A24,'Leave Log'!$C$5:$C$304,"&lt;="&amp;AG$5,'Leave Log'!$D$5:$D$304,"&gt;="&amp;AG$5,'Leave Log'!$F$5:$F$304,"&lt;&gt;Rejected",'Leave Log'!$B$5:$B$304,"UL")&gt;0,"UL",IF(COUNTIFS('Leave Log'!$A$5:$A$304,$A24,'Leave Log'!$C$5:$C$304,"&lt;="&amp;AG$5,'Leave Log'!$D$5:$D$304,"&gt;="&amp;AG$5,'Leave Log'!$F$5:$F$304,"&lt;&gt;Rejected",'Leave Log'!$B$5:$B$304,"OT")&gt;0,"OT",""))))))</f>
        <v/>
      </c>
    </row>
    <row r="25" customFormat="false" ht="15" hidden="false" customHeight="false" outlineLevel="0" collapsed="false">
      <c r="A25" s="3" t="str">
        <f aca="false">IF(Employees!B24="","",Employees!B24)</f>
        <v/>
      </c>
      <c r="B25" s="11" t="str">
        <f aca="false">IF(Employees!B24="","",Employees!C24)</f>
        <v/>
      </c>
      <c r="C25" s="12" t="str">
        <f aca="false">IF(OR(C$5="",$A25=""),"",IF(COUNTIFS('Leave Log'!$A$5:$A$304,$A25,'Leave Log'!$C$5:$C$304,"&lt;="&amp;C$5,'Leave Log'!$D$5:$D$304,"&gt;="&amp;C$5,'Leave Log'!$F$5:$F$304,"&lt;&gt;Rejected",'Leave Log'!$B$5:$B$304,"AL")&gt;0,"AL",IF(COUNTIFS('Leave Log'!$A$5:$A$304,$A25,'Leave Log'!$C$5:$C$304,"&lt;="&amp;C$5,'Leave Log'!$D$5:$D$304,"&gt;="&amp;C$5,'Leave Log'!$F$5:$F$304,"&lt;&gt;Rejected",'Leave Log'!$B$5:$B$304,"SL")&gt;0,"SL",IF(COUNTIFS('Leave Log'!$A$5:$A$304,$A25,'Leave Log'!$C$5:$C$304,"&lt;="&amp;C$5,'Leave Log'!$D$5:$D$304,"&gt;="&amp;C$5,'Leave Log'!$F$5:$F$304,"&lt;&gt;Rejected",'Leave Log'!$B$5:$B$304,"CL")&gt;0,"CL",IF(COUNTIFS('Leave Log'!$A$5:$A$304,$A25,'Leave Log'!$C$5:$C$304,"&lt;="&amp;C$5,'Leave Log'!$D$5:$D$304,"&gt;="&amp;C$5,'Leave Log'!$F$5:$F$304,"&lt;&gt;Rejected",'Leave Log'!$B$5:$B$304,"UL")&gt;0,"UL",IF(COUNTIFS('Leave Log'!$A$5:$A$304,$A25,'Leave Log'!$C$5:$C$304,"&lt;="&amp;C$5,'Leave Log'!$D$5:$D$304,"&gt;="&amp;C$5,'Leave Log'!$F$5:$F$304,"&lt;&gt;Rejected",'Leave Log'!$B$5:$B$304,"OT")&gt;0,"OT",""))))))</f>
        <v/>
      </c>
      <c r="D25" s="12" t="str">
        <f aca="false">IF(OR(D$5="",$A25=""),"",IF(COUNTIFS('Leave Log'!$A$5:$A$304,$A25,'Leave Log'!$C$5:$C$304,"&lt;="&amp;D$5,'Leave Log'!$D$5:$D$304,"&gt;="&amp;D$5,'Leave Log'!$F$5:$F$304,"&lt;&gt;Rejected",'Leave Log'!$B$5:$B$304,"AL")&gt;0,"AL",IF(COUNTIFS('Leave Log'!$A$5:$A$304,$A25,'Leave Log'!$C$5:$C$304,"&lt;="&amp;D$5,'Leave Log'!$D$5:$D$304,"&gt;="&amp;D$5,'Leave Log'!$F$5:$F$304,"&lt;&gt;Rejected",'Leave Log'!$B$5:$B$304,"SL")&gt;0,"SL",IF(COUNTIFS('Leave Log'!$A$5:$A$304,$A25,'Leave Log'!$C$5:$C$304,"&lt;="&amp;D$5,'Leave Log'!$D$5:$D$304,"&gt;="&amp;D$5,'Leave Log'!$F$5:$F$304,"&lt;&gt;Rejected",'Leave Log'!$B$5:$B$304,"CL")&gt;0,"CL",IF(COUNTIFS('Leave Log'!$A$5:$A$304,$A25,'Leave Log'!$C$5:$C$304,"&lt;="&amp;D$5,'Leave Log'!$D$5:$D$304,"&gt;="&amp;D$5,'Leave Log'!$F$5:$F$304,"&lt;&gt;Rejected",'Leave Log'!$B$5:$B$304,"UL")&gt;0,"UL",IF(COUNTIFS('Leave Log'!$A$5:$A$304,$A25,'Leave Log'!$C$5:$C$304,"&lt;="&amp;D$5,'Leave Log'!$D$5:$D$304,"&gt;="&amp;D$5,'Leave Log'!$F$5:$F$304,"&lt;&gt;Rejected",'Leave Log'!$B$5:$B$304,"OT")&gt;0,"OT",""))))))</f>
        <v/>
      </c>
      <c r="E25" s="12" t="str">
        <f aca="false">IF(OR(E$5="",$A25=""),"",IF(COUNTIFS('Leave Log'!$A$5:$A$304,$A25,'Leave Log'!$C$5:$C$304,"&lt;="&amp;E$5,'Leave Log'!$D$5:$D$304,"&gt;="&amp;E$5,'Leave Log'!$F$5:$F$304,"&lt;&gt;Rejected",'Leave Log'!$B$5:$B$304,"AL")&gt;0,"AL",IF(COUNTIFS('Leave Log'!$A$5:$A$304,$A25,'Leave Log'!$C$5:$C$304,"&lt;="&amp;E$5,'Leave Log'!$D$5:$D$304,"&gt;="&amp;E$5,'Leave Log'!$F$5:$F$304,"&lt;&gt;Rejected",'Leave Log'!$B$5:$B$304,"SL")&gt;0,"SL",IF(COUNTIFS('Leave Log'!$A$5:$A$304,$A25,'Leave Log'!$C$5:$C$304,"&lt;="&amp;E$5,'Leave Log'!$D$5:$D$304,"&gt;="&amp;E$5,'Leave Log'!$F$5:$F$304,"&lt;&gt;Rejected",'Leave Log'!$B$5:$B$304,"CL")&gt;0,"CL",IF(COUNTIFS('Leave Log'!$A$5:$A$304,$A25,'Leave Log'!$C$5:$C$304,"&lt;="&amp;E$5,'Leave Log'!$D$5:$D$304,"&gt;="&amp;E$5,'Leave Log'!$F$5:$F$304,"&lt;&gt;Rejected",'Leave Log'!$B$5:$B$304,"UL")&gt;0,"UL",IF(COUNTIFS('Leave Log'!$A$5:$A$304,$A25,'Leave Log'!$C$5:$C$304,"&lt;="&amp;E$5,'Leave Log'!$D$5:$D$304,"&gt;="&amp;E$5,'Leave Log'!$F$5:$F$304,"&lt;&gt;Rejected",'Leave Log'!$B$5:$B$304,"OT")&gt;0,"OT",""))))))</f>
        <v/>
      </c>
      <c r="F25" s="12" t="str">
        <f aca="false">IF(OR(F$5="",$A25=""),"",IF(COUNTIFS('Leave Log'!$A$5:$A$304,$A25,'Leave Log'!$C$5:$C$304,"&lt;="&amp;F$5,'Leave Log'!$D$5:$D$304,"&gt;="&amp;F$5,'Leave Log'!$F$5:$F$304,"&lt;&gt;Rejected",'Leave Log'!$B$5:$B$304,"AL")&gt;0,"AL",IF(COUNTIFS('Leave Log'!$A$5:$A$304,$A25,'Leave Log'!$C$5:$C$304,"&lt;="&amp;F$5,'Leave Log'!$D$5:$D$304,"&gt;="&amp;F$5,'Leave Log'!$F$5:$F$304,"&lt;&gt;Rejected",'Leave Log'!$B$5:$B$304,"SL")&gt;0,"SL",IF(COUNTIFS('Leave Log'!$A$5:$A$304,$A25,'Leave Log'!$C$5:$C$304,"&lt;="&amp;F$5,'Leave Log'!$D$5:$D$304,"&gt;="&amp;F$5,'Leave Log'!$F$5:$F$304,"&lt;&gt;Rejected",'Leave Log'!$B$5:$B$304,"CL")&gt;0,"CL",IF(COUNTIFS('Leave Log'!$A$5:$A$304,$A25,'Leave Log'!$C$5:$C$304,"&lt;="&amp;F$5,'Leave Log'!$D$5:$D$304,"&gt;="&amp;F$5,'Leave Log'!$F$5:$F$304,"&lt;&gt;Rejected",'Leave Log'!$B$5:$B$304,"UL")&gt;0,"UL",IF(COUNTIFS('Leave Log'!$A$5:$A$304,$A25,'Leave Log'!$C$5:$C$304,"&lt;="&amp;F$5,'Leave Log'!$D$5:$D$304,"&gt;="&amp;F$5,'Leave Log'!$F$5:$F$304,"&lt;&gt;Rejected",'Leave Log'!$B$5:$B$304,"OT")&gt;0,"OT",""))))))</f>
        <v/>
      </c>
      <c r="G25" s="12" t="str">
        <f aca="false">IF(OR(G$5="",$A25=""),"",IF(COUNTIFS('Leave Log'!$A$5:$A$304,$A25,'Leave Log'!$C$5:$C$304,"&lt;="&amp;G$5,'Leave Log'!$D$5:$D$304,"&gt;="&amp;G$5,'Leave Log'!$F$5:$F$304,"&lt;&gt;Rejected",'Leave Log'!$B$5:$B$304,"AL")&gt;0,"AL",IF(COUNTIFS('Leave Log'!$A$5:$A$304,$A25,'Leave Log'!$C$5:$C$304,"&lt;="&amp;G$5,'Leave Log'!$D$5:$D$304,"&gt;="&amp;G$5,'Leave Log'!$F$5:$F$304,"&lt;&gt;Rejected",'Leave Log'!$B$5:$B$304,"SL")&gt;0,"SL",IF(COUNTIFS('Leave Log'!$A$5:$A$304,$A25,'Leave Log'!$C$5:$C$304,"&lt;="&amp;G$5,'Leave Log'!$D$5:$D$304,"&gt;="&amp;G$5,'Leave Log'!$F$5:$F$304,"&lt;&gt;Rejected",'Leave Log'!$B$5:$B$304,"CL")&gt;0,"CL",IF(COUNTIFS('Leave Log'!$A$5:$A$304,$A25,'Leave Log'!$C$5:$C$304,"&lt;="&amp;G$5,'Leave Log'!$D$5:$D$304,"&gt;="&amp;G$5,'Leave Log'!$F$5:$F$304,"&lt;&gt;Rejected",'Leave Log'!$B$5:$B$304,"UL")&gt;0,"UL",IF(COUNTIFS('Leave Log'!$A$5:$A$304,$A25,'Leave Log'!$C$5:$C$304,"&lt;="&amp;G$5,'Leave Log'!$D$5:$D$304,"&gt;="&amp;G$5,'Leave Log'!$F$5:$F$304,"&lt;&gt;Rejected",'Leave Log'!$B$5:$B$304,"OT")&gt;0,"OT",""))))))</f>
        <v/>
      </c>
      <c r="H25" s="12" t="str">
        <f aca="false">IF(OR(H$5="",$A25=""),"",IF(COUNTIFS('Leave Log'!$A$5:$A$304,$A25,'Leave Log'!$C$5:$C$304,"&lt;="&amp;H$5,'Leave Log'!$D$5:$D$304,"&gt;="&amp;H$5,'Leave Log'!$F$5:$F$304,"&lt;&gt;Rejected",'Leave Log'!$B$5:$B$304,"AL")&gt;0,"AL",IF(COUNTIFS('Leave Log'!$A$5:$A$304,$A25,'Leave Log'!$C$5:$C$304,"&lt;="&amp;H$5,'Leave Log'!$D$5:$D$304,"&gt;="&amp;H$5,'Leave Log'!$F$5:$F$304,"&lt;&gt;Rejected",'Leave Log'!$B$5:$B$304,"SL")&gt;0,"SL",IF(COUNTIFS('Leave Log'!$A$5:$A$304,$A25,'Leave Log'!$C$5:$C$304,"&lt;="&amp;H$5,'Leave Log'!$D$5:$D$304,"&gt;="&amp;H$5,'Leave Log'!$F$5:$F$304,"&lt;&gt;Rejected",'Leave Log'!$B$5:$B$304,"CL")&gt;0,"CL",IF(COUNTIFS('Leave Log'!$A$5:$A$304,$A25,'Leave Log'!$C$5:$C$304,"&lt;="&amp;H$5,'Leave Log'!$D$5:$D$304,"&gt;="&amp;H$5,'Leave Log'!$F$5:$F$304,"&lt;&gt;Rejected",'Leave Log'!$B$5:$B$304,"UL")&gt;0,"UL",IF(COUNTIFS('Leave Log'!$A$5:$A$304,$A25,'Leave Log'!$C$5:$C$304,"&lt;="&amp;H$5,'Leave Log'!$D$5:$D$304,"&gt;="&amp;H$5,'Leave Log'!$F$5:$F$304,"&lt;&gt;Rejected",'Leave Log'!$B$5:$B$304,"OT")&gt;0,"OT",""))))))</f>
        <v/>
      </c>
      <c r="I25" s="12" t="str">
        <f aca="false">IF(OR(I$5="",$A25=""),"",IF(COUNTIFS('Leave Log'!$A$5:$A$304,$A25,'Leave Log'!$C$5:$C$304,"&lt;="&amp;I$5,'Leave Log'!$D$5:$D$304,"&gt;="&amp;I$5,'Leave Log'!$F$5:$F$304,"&lt;&gt;Rejected",'Leave Log'!$B$5:$B$304,"AL")&gt;0,"AL",IF(COUNTIFS('Leave Log'!$A$5:$A$304,$A25,'Leave Log'!$C$5:$C$304,"&lt;="&amp;I$5,'Leave Log'!$D$5:$D$304,"&gt;="&amp;I$5,'Leave Log'!$F$5:$F$304,"&lt;&gt;Rejected",'Leave Log'!$B$5:$B$304,"SL")&gt;0,"SL",IF(COUNTIFS('Leave Log'!$A$5:$A$304,$A25,'Leave Log'!$C$5:$C$304,"&lt;="&amp;I$5,'Leave Log'!$D$5:$D$304,"&gt;="&amp;I$5,'Leave Log'!$F$5:$F$304,"&lt;&gt;Rejected",'Leave Log'!$B$5:$B$304,"CL")&gt;0,"CL",IF(COUNTIFS('Leave Log'!$A$5:$A$304,$A25,'Leave Log'!$C$5:$C$304,"&lt;="&amp;I$5,'Leave Log'!$D$5:$D$304,"&gt;="&amp;I$5,'Leave Log'!$F$5:$F$304,"&lt;&gt;Rejected",'Leave Log'!$B$5:$B$304,"UL")&gt;0,"UL",IF(COUNTIFS('Leave Log'!$A$5:$A$304,$A25,'Leave Log'!$C$5:$C$304,"&lt;="&amp;I$5,'Leave Log'!$D$5:$D$304,"&gt;="&amp;I$5,'Leave Log'!$F$5:$F$304,"&lt;&gt;Rejected",'Leave Log'!$B$5:$B$304,"OT")&gt;0,"OT",""))))))</f>
        <v/>
      </c>
      <c r="J25" s="12" t="str">
        <f aca="false">IF(OR(J$5="",$A25=""),"",IF(COUNTIFS('Leave Log'!$A$5:$A$304,$A25,'Leave Log'!$C$5:$C$304,"&lt;="&amp;J$5,'Leave Log'!$D$5:$D$304,"&gt;="&amp;J$5,'Leave Log'!$F$5:$F$304,"&lt;&gt;Rejected",'Leave Log'!$B$5:$B$304,"AL")&gt;0,"AL",IF(COUNTIFS('Leave Log'!$A$5:$A$304,$A25,'Leave Log'!$C$5:$C$304,"&lt;="&amp;J$5,'Leave Log'!$D$5:$D$304,"&gt;="&amp;J$5,'Leave Log'!$F$5:$F$304,"&lt;&gt;Rejected",'Leave Log'!$B$5:$B$304,"SL")&gt;0,"SL",IF(COUNTIFS('Leave Log'!$A$5:$A$304,$A25,'Leave Log'!$C$5:$C$304,"&lt;="&amp;J$5,'Leave Log'!$D$5:$D$304,"&gt;="&amp;J$5,'Leave Log'!$F$5:$F$304,"&lt;&gt;Rejected",'Leave Log'!$B$5:$B$304,"CL")&gt;0,"CL",IF(COUNTIFS('Leave Log'!$A$5:$A$304,$A25,'Leave Log'!$C$5:$C$304,"&lt;="&amp;J$5,'Leave Log'!$D$5:$D$304,"&gt;="&amp;J$5,'Leave Log'!$F$5:$F$304,"&lt;&gt;Rejected",'Leave Log'!$B$5:$B$304,"UL")&gt;0,"UL",IF(COUNTIFS('Leave Log'!$A$5:$A$304,$A25,'Leave Log'!$C$5:$C$304,"&lt;="&amp;J$5,'Leave Log'!$D$5:$D$304,"&gt;="&amp;J$5,'Leave Log'!$F$5:$F$304,"&lt;&gt;Rejected",'Leave Log'!$B$5:$B$304,"OT")&gt;0,"OT",""))))))</f>
        <v/>
      </c>
      <c r="K25" s="12" t="str">
        <f aca="false">IF(OR(K$5="",$A25=""),"",IF(COUNTIFS('Leave Log'!$A$5:$A$304,$A25,'Leave Log'!$C$5:$C$304,"&lt;="&amp;K$5,'Leave Log'!$D$5:$D$304,"&gt;="&amp;K$5,'Leave Log'!$F$5:$F$304,"&lt;&gt;Rejected",'Leave Log'!$B$5:$B$304,"AL")&gt;0,"AL",IF(COUNTIFS('Leave Log'!$A$5:$A$304,$A25,'Leave Log'!$C$5:$C$304,"&lt;="&amp;K$5,'Leave Log'!$D$5:$D$304,"&gt;="&amp;K$5,'Leave Log'!$F$5:$F$304,"&lt;&gt;Rejected",'Leave Log'!$B$5:$B$304,"SL")&gt;0,"SL",IF(COUNTIFS('Leave Log'!$A$5:$A$304,$A25,'Leave Log'!$C$5:$C$304,"&lt;="&amp;K$5,'Leave Log'!$D$5:$D$304,"&gt;="&amp;K$5,'Leave Log'!$F$5:$F$304,"&lt;&gt;Rejected",'Leave Log'!$B$5:$B$304,"CL")&gt;0,"CL",IF(COUNTIFS('Leave Log'!$A$5:$A$304,$A25,'Leave Log'!$C$5:$C$304,"&lt;="&amp;K$5,'Leave Log'!$D$5:$D$304,"&gt;="&amp;K$5,'Leave Log'!$F$5:$F$304,"&lt;&gt;Rejected",'Leave Log'!$B$5:$B$304,"UL")&gt;0,"UL",IF(COUNTIFS('Leave Log'!$A$5:$A$304,$A25,'Leave Log'!$C$5:$C$304,"&lt;="&amp;K$5,'Leave Log'!$D$5:$D$304,"&gt;="&amp;K$5,'Leave Log'!$F$5:$F$304,"&lt;&gt;Rejected",'Leave Log'!$B$5:$B$304,"OT")&gt;0,"OT",""))))))</f>
        <v/>
      </c>
      <c r="L25" s="12" t="str">
        <f aca="false">IF(OR(L$5="",$A25=""),"",IF(COUNTIFS('Leave Log'!$A$5:$A$304,$A25,'Leave Log'!$C$5:$C$304,"&lt;="&amp;L$5,'Leave Log'!$D$5:$D$304,"&gt;="&amp;L$5,'Leave Log'!$F$5:$F$304,"&lt;&gt;Rejected",'Leave Log'!$B$5:$B$304,"AL")&gt;0,"AL",IF(COUNTIFS('Leave Log'!$A$5:$A$304,$A25,'Leave Log'!$C$5:$C$304,"&lt;="&amp;L$5,'Leave Log'!$D$5:$D$304,"&gt;="&amp;L$5,'Leave Log'!$F$5:$F$304,"&lt;&gt;Rejected",'Leave Log'!$B$5:$B$304,"SL")&gt;0,"SL",IF(COUNTIFS('Leave Log'!$A$5:$A$304,$A25,'Leave Log'!$C$5:$C$304,"&lt;="&amp;L$5,'Leave Log'!$D$5:$D$304,"&gt;="&amp;L$5,'Leave Log'!$F$5:$F$304,"&lt;&gt;Rejected",'Leave Log'!$B$5:$B$304,"CL")&gt;0,"CL",IF(COUNTIFS('Leave Log'!$A$5:$A$304,$A25,'Leave Log'!$C$5:$C$304,"&lt;="&amp;L$5,'Leave Log'!$D$5:$D$304,"&gt;="&amp;L$5,'Leave Log'!$F$5:$F$304,"&lt;&gt;Rejected",'Leave Log'!$B$5:$B$304,"UL")&gt;0,"UL",IF(COUNTIFS('Leave Log'!$A$5:$A$304,$A25,'Leave Log'!$C$5:$C$304,"&lt;="&amp;L$5,'Leave Log'!$D$5:$D$304,"&gt;="&amp;L$5,'Leave Log'!$F$5:$F$304,"&lt;&gt;Rejected",'Leave Log'!$B$5:$B$304,"OT")&gt;0,"OT",""))))))</f>
        <v/>
      </c>
      <c r="M25" s="12" t="str">
        <f aca="false">IF(OR(M$5="",$A25=""),"",IF(COUNTIFS('Leave Log'!$A$5:$A$304,$A25,'Leave Log'!$C$5:$C$304,"&lt;="&amp;M$5,'Leave Log'!$D$5:$D$304,"&gt;="&amp;M$5,'Leave Log'!$F$5:$F$304,"&lt;&gt;Rejected",'Leave Log'!$B$5:$B$304,"AL")&gt;0,"AL",IF(COUNTIFS('Leave Log'!$A$5:$A$304,$A25,'Leave Log'!$C$5:$C$304,"&lt;="&amp;M$5,'Leave Log'!$D$5:$D$304,"&gt;="&amp;M$5,'Leave Log'!$F$5:$F$304,"&lt;&gt;Rejected",'Leave Log'!$B$5:$B$304,"SL")&gt;0,"SL",IF(COUNTIFS('Leave Log'!$A$5:$A$304,$A25,'Leave Log'!$C$5:$C$304,"&lt;="&amp;M$5,'Leave Log'!$D$5:$D$304,"&gt;="&amp;M$5,'Leave Log'!$F$5:$F$304,"&lt;&gt;Rejected",'Leave Log'!$B$5:$B$304,"CL")&gt;0,"CL",IF(COUNTIFS('Leave Log'!$A$5:$A$304,$A25,'Leave Log'!$C$5:$C$304,"&lt;="&amp;M$5,'Leave Log'!$D$5:$D$304,"&gt;="&amp;M$5,'Leave Log'!$F$5:$F$304,"&lt;&gt;Rejected",'Leave Log'!$B$5:$B$304,"UL")&gt;0,"UL",IF(COUNTIFS('Leave Log'!$A$5:$A$304,$A25,'Leave Log'!$C$5:$C$304,"&lt;="&amp;M$5,'Leave Log'!$D$5:$D$304,"&gt;="&amp;M$5,'Leave Log'!$F$5:$F$304,"&lt;&gt;Rejected",'Leave Log'!$B$5:$B$304,"OT")&gt;0,"OT",""))))))</f>
        <v/>
      </c>
      <c r="N25" s="12" t="str">
        <f aca="false">IF(OR(N$5="",$A25=""),"",IF(COUNTIFS('Leave Log'!$A$5:$A$304,$A25,'Leave Log'!$C$5:$C$304,"&lt;="&amp;N$5,'Leave Log'!$D$5:$D$304,"&gt;="&amp;N$5,'Leave Log'!$F$5:$F$304,"&lt;&gt;Rejected",'Leave Log'!$B$5:$B$304,"AL")&gt;0,"AL",IF(COUNTIFS('Leave Log'!$A$5:$A$304,$A25,'Leave Log'!$C$5:$C$304,"&lt;="&amp;N$5,'Leave Log'!$D$5:$D$304,"&gt;="&amp;N$5,'Leave Log'!$F$5:$F$304,"&lt;&gt;Rejected",'Leave Log'!$B$5:$B$304,"SL")&gt;0,"SL",IF(COUNTIFS('Leave Log'!$A$5:$A$304,$A25,'Leave Log'!$C$5:$C$304,"&lt;="&amp;N$5,'Leave Log'!$D$5:$D$304,"&gt;="&amp;N$5,'Leave Log'!$F$5:$F$304,"&lt;&gt;Rejected",'Leave Log'!$B$5:$B$304,"CL")&gt;0,"CL",IF(COUNTIFS('Leave Log'!$A$5:$A$304,$A25,'Leave Log'!$C$5:$C$304,"&lt;="&amp;N$5,'Leave Log'!$D$5:$D$304,"&gt;="&amp;N$5,'Leave Log'!$F$5:$F$304,"&lt;&gt;Rejected",'Leave Log'!$B$5:$B$304,"UL")&gt;0,"UL",IF(COUNTIFS('Leave Log'!$A$5:$A$304,$A25,'Leave Log'!$C$5:$C$304,"&lt;="&amp;N$5,'Leave Log'!$D$5:$D$304,"&gt;="&amp;N$5,'Leave Log'!$F$5:$F$304,"&lt;&gt;Rejected",'Leave Log'!$B$5:$B$304,"OT")&gt;0,"OT",""))))))</f>
        <v/>
      </c>
      <c r="O25" s="12" t="str">
        <f aca="false">IF(OR(O$5="",$A25=""),"",IF(COUNTIFS('Leave Log'!$A$5:$A$304,$A25,'Leave Log'!$C$5:$C$304,"&lt;="&amp;O$5,'Leave Log'!$D$5:$D$304,"&gt;="&amp;O$5,'Leave Log'!$F$5:$F$304,"&lt;&gt;Rejected",'Leave Log'!$B$5:$B$304,"AL")&gt;0,"AL",IF(COUNTIFS('Leave Log'!$A$5:$A$304,$A25,'Leave Log'!$C$5:$C$304,"&lt;="&amp;O$5,'Leave Log'!$D$5:$D$304,"&gt;="&amp;O$5,'Leave Log'!$F$5:$F$304,"&lt;&gt;Rejected",'Leave Log'!$B$5:$B$304,"SL")&gt;0,"SL",IF(COUNTIFS('Leave Log'!$A$5:$A$304,$A25,'Leave Log'!$C$5:$C$304,"&lt;="&amp;O$5,'Leave Log'!$D$5:$D$304,"&gt;="&amp;O$5,'Leave Log'!$F$5:$F$304,"&lt;&gt;Rejected",'Leave Log'!$B$5:$B$304,"CL")&gt;0,"CL",IF(COUNTIFS('Leave Log'!$A$5:$A$304,$A25,'Leave Log'!$C$5:$C$304,"&lt;="&amp;O$5,'Leave Log'!$D$5:$D$304,"&gt;="&amp;O$5,'Leave Log'!$F$5:$F$304,"&lt;&gt;Rejected",'Leave Log'!$B$5:$B$304,"UL")&gt;0,"UL",IF(COUNTIFS('Leave Log'!$A$5:$A$304,$A25,'Leave Log'!$C$5:$C$304,"&lt;="&amp;O$5,'Leave Log'!$D$5:$D$304,"&gt;="&amp;O$5,'Leave Log'!$F$5:$F$304,"&lt;&gt;Rejected",'Leave Log'!$B$5:$B$304,"OT")&gt;0,"OT",""))))))</f>
        <v/>
      </c>
      <c r="P25" s="12" t="str">
        <f aca="false">IF(OR(P$5="",$A25=""),"",IF(COUNTIFS('Leave Log'!$A$5:$A$304,$A25,'Leave Log'!$C$5:$C$304,"&lt;="&amp;P$5,'Leave Log'!$D$5:$D$304,"&gt;="&amp;P$5,'Leave Log'!$F$5:$F$304,"&lt;&gt;Rejected",'Leave Log'!$B$5:$B$304,"AL")&gt;0,"AL",IF(COUNTIFS('Leave Log'!$A$5:$A$304,$A25,'Leave Log'!$C$5:$C$304,"&lt;="&amp;P$5,'Leave Log'!$D$5:$D$304,"&gt;="&amp;P$5,'Leave Log'!$F$5:$F$304,"&lt;&gt;Rejected",'Leave Log'!$B$5:$B$304,"SL")&gt;0,"SL",IF(COUNTIFS('Leave Log'!$A$5:$A$304,$A25,'Leave Log'!$C$5:$C$304,"&lt;="&amp;P$5,'Leave Log'!$D$5:$D$304,"&gt;="&amp;P$5,'Leave Log'!$F$5:$F$304,"&lt;&gt;Rejected",'Leave Log'!$B$5:$B$304,"CL")&gt;0,"CL",IF(COUNTIFS('Leave Log'!$A$5:$A$304,$A25,'Leave Log'!$C$5:$C$304,"&lt;="&amp;P$5,'Leave Log'!$D$5:$D$304,"&gt;="&amp;P$5,'Leave Log'!$F$5:$F$304,"&lt;&gt;Rejected",'Leave Log'!$B$5:$B$304,"UL")&gt;0,"UL",IF(COUNTIFS('Leave Log'!$A$5:$A$304,$A25,'Leave Log'!$C$5:$C$304,"&lt;="&amp;P$5,'Leave Log'!$D$5:$D$304,"&gt;="&amp;P$5,'Leave Log'!$F$5:$F$304,"&lt;&gt;Rejected",'Leave Log'!$B$5:$B$304,"OT")&gt;0,"OT",""))))))</f>
        <v/>
      </c>
      <c r="Q25" s="12" t="str">
        <f aca="false">IF(OR(Q$5="",$A25=""),"",IF(COUNTIFS('Leave Log'!$A$5:$A$304,$A25,'Leave Log'!$C$5:$C$304,"&lt;="&amp;Q$5,'Leave Log'!$D$5:$D$304,"&gt;="&amp;Q$5,'Leave Log'!$F$5:$F$304,"&lt;&gt;Rejected",'Leave Log'!$B$5:$B$304,"AL")&gt;0,"AL",IF(COUNTIFS('Leave Log'!$A$5:$A$304,$A25,'Leave Log'!$C$5:$C$304,"&lt;="&amp;Q$5,'Leave Log'!$D$5:$D$304,"&gt;="&amp;Q$5,'Leave Log'!$F$5:$F$304,"&lt;&gt;Rejected",'Leave Log'!$B$5:$B$304,"SL")&gt;0,"SL",IF(COUNTIFS('Leave Log'!$A$5:$A$304,$A25,'Leave Log'!$C$5:$C$304,"&lt;="&amp;Q$5,'Leave Log'!$D$5:$D$304,"&gt;="&amp;Q$5,'Leave Log'!$F$5:$F$304,"&lt;&gt;Rejected",'Leave Log'!$B$5:$B$304,"CL")&gt;0,"CL",IF(COUNTIFS('Leave Log'!$A$5:$A$304,$A25,'Leave Log'!$C$5:$C$304,"&lt;="&amp;Q$5,'Leave Log'!$D$5:$D$304,"&gt;="&amp;Q$5,'Leave Log'!$F$5:$F$304,"&lt;&gt;Rejected",'Leave Log'!$B$5:$B$304,"UL")&gt;0,"UL",IF(COUNTIFS('Leave Log'!$A$5:$A$304,$A25,'Leave Log'!$C$5:$C$304,"&lt;="&amp;Q$5,'Leave Log'!$D$5:$D$304,"&gt;="&amp;Q$5,'Leave Log'!$F$5:$F$304,"&lt;&gt;Rejected",'Leave Log'!$B$5:$B$304,"OT")&gt;0,"OT",""))))))</f>
        <v/>
      </c>
      <c r="R25" s="12" t="str">
        <f aca="false">IF(OR(R$5="",$A25=""),"",IF(COUNTIFS('Leave Log'!$A$5:$A$304,$A25,'Leave Log'!$C$5:$C$304,"&lt;="&amp;R$5,'Leave Log'!$D$5:$D$304,"&gt;="&amp;R$5,'Leave Log'!$F$5:$F$304,"&lt;&gt;Rejected",'Leave Log'!$B$5:$B$304,"AL")&gt;0,"AL",IF(COUNTIFS('Leave Log'!$A$5:$A$304,$A25,'Leave Log'!$C$5:$C$304,"&lt;="&amp;R$5,'Leave Log'!$D$5:$D$304,"&gt;="&amp;R$5,'Leave Log'!$F$5:$F$304,"&lt;&gt;Rejected",'Leave Log'!$B$5:$B$304,"SL")&gt;0,"SL",IF(COUNTIFS('Leave Log'!$A$5:$A$304,$A25,'Leave Log'!$C$5:$C$304,"&lt;="&amp;R$5,'Leave Log'!$D$5:$D$304,"&gt;="&amp;R$5,'Leave Log'!$F$5:$F$304,"&lt;&gt;Rejected",'Leave Log'!$B$5:$B$304,"CL")&gt;0,"CL",IF(COUNTIFS('Leave Log'!$A$5:$A$304,$A25,'Leave Log'!$C$5:$C$304,"&lt;="&amp;R$5,'Leave Log'!$D$5:$D$304,"&gt;="&amp;R$5,'Leave Log'!$F$5:$F$304,"&lt;&gt;Rejected",'Leave Log'!$B$5:$B$304,"UL")&gt;0,"UL",IF(COUNTIFS('Leave Log'!$A$5:$A$304,$A25,'Leave Log'!$C$5:$C$304,"&lt;="&amp;R$5,'Leave Log'!$D$5:$D$304,"&gt;="&amp;R$5,'Leave Log'!$F$5:$F$304,"&lt;&gt;Rejected",'Leave Log'!$B$5:$B$304,"OT")&gt;0,"OT",""))))))</f>
        <v/>
      </c>
      <c r="S25" s="12" t="str">
        <f aca="false">IF(OR(S$5="",$A25=""),"",IF(COUNTIFS('Leave Log'!$A$5:$A$304,$A25,'Leave Log'!$C$5:$C$304,"&lt;="&amp;S$5,'Leave Log'!$D$5:$D$304,"&gt;="&amp;S$5,'Leave Log'!$F$5:$F$304,"&lt;&gt;Rejected",'Leave Log'!$B$5:$B$304,"AL")&gt;0,"AL",IF(COUNTIFS('Leave Log'!$A$5:$A$304,$A25,'Leave Log'!$C$5:$C$304,"&lt;="&amp;S$5,'Leave Log'!$D$5:$D$304,"&gt;="&amp;S$5,'Leave Log'!$F$5:$F$304,"&lt;&gt;Rejected",'Leave Log'!$B$5:$B$304,"SL")&gt;0,"SL",IF(COUNTIFS('Leave Log'!$A$5:$A$304,$A25,'Leave Log'!$C$5:$C$304,"&lt;="&amp;S$5,'Leave Log'!$D$5:$D$304,"&gt;="&amp;S$5,'Leave Log'!$F$5:$F$304,"&lt;&gt;Rejected",'Leave Log'!$B$5:$B$304,"CL")&gt;0,"CL",IF(COUNTIFS('Leave Log'!$A$5:$A$304,$A25,'Leave Log'!$C$5:$C$304,"&lt;="&amp;S$5,'Leave Log'!$D$5:$D$304,"&gt;="&amp;S$5,'Leave Log'!$F$5:$F$304,"&lt;&gt;Rejected",'Leave Log'!$B$5:$B$304,"UL")&gt;0,"UL",IF(COUNTIFS('Leave Log'!$A$5:$A$304,$A25,'Leave Log'!$C$5:$C$304,"&lt;="&amp;S$5,'Leave Log'!$D$5:$D$304,"&gt;="&amp;S$5,'Leave Log'!$F$5:$F$304,"&lt;&gt;Rejected",'Leave Log'!$B$5:$B$304,"OT")&gt;0,"OT",""))))))</f>
        <v/>
      </c>
      <c r="T25" s="12" t="str">
        <f aca="false">IF(OR(T$5="",$A25=""),"",IF(COUNTIFS('Leave Log'!$A$5:$A$304,$A25,'Leave Log'!$C$5:$C$304,"&lt;="&amp;T$5,'Leave Log'!$D$5:$D$304,"&gt;="&amp;T$5,'Leave Log'!$F$5:$F$304,"&lt;&gt;Rejected",'Leave Log'!$B$5:$B$304,"AL")&gt;0,"AL",IF(COUNTIFS('Leave Log'!$A$5:$A$304,$A25,'Leave Log'!$C$5:$C$304,"&lt;="&amp;T$5,'Leave Log'!$D$5:$D$304,"&gt;="&amp;T$5,'Leave Log'!$F$5:$F$304,"&lt;&gt;Rejected",'Leave Log'!$B$5:$B$304,"SL")&gt;0,"SL",IF(COUNTIFS('Leave Log'!$A$5:$A$304,$A25,'Leave Log'!$C$5:$C$304,"&lt;="&amp;T$5,'Leave Log'!$D$5:$D$304,"&gt;="&amp;T$5,'Leave Log'!$F$5:$F$304,"&lt;&gt;Rejected",'Leave Log'!$B$5:$B$304,"CL")&gt;0,"CL",IF(COUNTIFS('Leave Log'!$A$5:$A$304,$A25,'Leave Log'!$C$5:$C$304,"&lt;="&amp;T$5,'Leave Log'!$D$5:$D$304,"&gt;="&amp;T$5,'Leave Log'!$F$5:$F$304,"&lt;&gt;Rejected",'Leave Log'!$B$5:$B$304,"UL")&gt;0,"UL",IF(COUNTIFS('Leave Log'!$A$5:$A$304,$A25,'Leave Log'!$C$5:$C$304,"&lt;="&amp;T$5,'Leave Log'!$D$5:$D$304,"&gt;="&amp;T$5,'Leave Log'!$F$5:$F$304,"&lt;&gt;Rejected",'Leave Log'!$B$5:$B$304,"OT")&gt;0,"OT",""))))))</f>
        <v/>
      </c>
      <c r="U25" s="12" t="str">
        <f aca="false">IF(OR(U$5="",$A25=""),"",IF(COUNTIFS('Leave Log'!$A$5:$A$304,$A25,'Leave Log'!$C$5:$C$304,"&lt;="&amp;U$5,'Leave Log'!$D$5:$D$304,"&gt;="&amp;U$5,'Leave Log'!$F$5:$F$304,"&lt;&gt;Rejected",'Leave Log'!$B$5:$B$304,"AL")&gt;0,"AL",IF(COUNTIFS('Leave Log'!$A$5:$A$304,$A25,'Leave Log'!$C$5:$C$304,"&lt;="&amp;U$5,'Leave Log'!$D$5:$D$304,"&gt;="&amp;U$5,'Leave Log'!$F$5:$F$304,"&lt;&gt;Rejected",'Leave Log'!$B$5:$B$304,"SL")&gt;0,"SL",IF(COUNTIFS('Leave Log'!$A$5:$A$304,$A25,'Leave Log'!$C$5:$C$304,"&lt;="&amp;U$5,'Leave Log'!$D$5:$D$304,"&gt;="&amp;U$5,'Leave Log'!$F$5:$F$304,"&lt;&gt;Rejected",'Leave Log'!$B$5:$B$304,"CL")&gt;0,"CL",IF(COUNTIFS('Leave Log'!$A$5:$A$304,$A25,'Leave Log'!$C$5:$C$304,"&lt;="&amp;U$5,'Leave Log'!$D$5:$D$304,"&gt;="&amp;U$5,'Leave Log'!$F$5:$F$304,"&lt;&gt;Rejected",'Leave Log'!$B$5:$B$304,"UL")&gt;0,"UL",IF(COUNTIFS('Leave Log'!$A$5:$A$304,$A25,'Leave Log'!$C$5:$C$304,"&lt;="&amp;U$5,'Leave Log'!$D$5:$D$304,"&gt;="&amp;U$5,'Leave Log'!$F$5:$F$304,"&lt;&gt;Rejected",'Leave Log'!$B$5:$B$304,"OT")&gt;0,"OT",""))))))</f>
        <v/>
      </c>
      <c r="V25" s="12" t="str">
        <f aca="false">IF(OR(V$5="",$A25=""),"",IF(COUNTIFS('Leave Log'!$A$5:$A$304,$A25,'Leave Log'!$C$5:$C$304,"&lt;="&amp;V$5,'Leave Log'!$D$5:$D$304,"&gt;="&amp;V$5,'Leave Log'!$F$5:$F$304,"&lt;&gt;Rejected",'Leave Log'!$B$5:$B$304,"AL")&gt;0,"AL",IF(COUNTIFS('Leave Log'!$A$5:$A$304,$A25,'Leave Log'!$C$5:$C$304,"&lt;="&amp;V$5,'Leave Log'!$D$5:$D$304,"&gt;="&amp;V$5,'Leave Log'!$F$5:$F$304,"&lt;&gt;Rejected",'Leave Log'!$B$5:$B$304,"SL")&gt;0,"SL",IF(COUNTIFS('Leave Log'!$A$5:$A$304,$A25,'Leave Log'!$C$5:$C$304,"&lt;="&amp;V$5,'Leave Log'!$D$5:$D$304,"&gt;="&amp;V$5,'Leave Log'!$F$5:$F$304,"&lt;&gt;Rejected",'Leave Log'!$B$5:$B$304,"CL")&gt;0,"CL",IF(COUNTIFS('Leave Log'!$A$5:$A$304,$A25,'Leave Log'!$C$5:$C$304,"&lt;="&amp;V$5,'Leave Log'!$D$5:$D$304,"&gt;="&amp;V$5,'Leave Log'!$F$5:$F$304,"&lt;&gt;Rejected",'Leave Log'!$B$5:$B$304,"UL")&gt;0,"UL",IF(COUNTIFS('Leave Log'!$A$5:$A$304,$A25,'Leave Log'!$C$5:$C$304,"&lt;="&amp;V$5,'Leave Log'!$D$5:$D$304,"&gt;="&amp;V$5,'Leave Log'!$F$5:$F$304,"&lt;&gt;Rejected",'Leave Log'!$B$5:$B$304,"OT")&gt;0,"OT",""))))))</f>
        <v/>
      </c>
      <c r="W25" s="12" t="str">
        <f aca="false">IF(OR(W$5="",$A25=""),"",IF(COUNTIFS('Leave Log'!$A$5:$A$304,$A25,'Leave Log'!$C$5:$C$304,"&lt;="&amp;W$5,'Leave Log'!$D$5:$D$304,"&gt;="&amp;W$5,'Leave Log'!$F$5:$F$304,"&lt;&gt;Rejected",'Leave Log'!$B$5:$B$304,"AL")&gt;0,"AL",IF(COUNTIFS('Leave Log'!$A$5:$A$304,$A25,'Leave Log'!$C$5:$C$304,"&lt;="&amp;W$5,'Leave Log'!$D$5:$D$304,"&gt;="&amp;W$5,'Leave Log'!$F$5:$F$304,"&lt;&gt;Rejected",'Leave Log'!$B$5:$B$304,"SL")&gt;0,"SL",IF(COUNTIFS('Leave Log'!$A$5:$A$304,$A25,'Leave Log'!$C$5:$C$304,"&lt;="&amp;W$5,'Leave Log'!$D$5:$D$304,"&gt;="&amp;W$5,'Leave Log'!$F$5:$F$304,"&lt;&gt;Rejected",'Leave Log'!$B$5:$B$304,"CL")&gt;0,"CL",IF(COUNTIFS('Leave Log'!$A$5:$A$304,$A25,'Leave Log'!$C$5:$C$304,"&lt;="&amp;W$5,'Leave Log'!$D$5:$D$304,"&gt;="&amp;W$5,'Leave Log'!$F$5:$F$304,"&lt;&gt;Rejected",'Leave Log'!$B$5:$B$304,"UL")&gt;0,"UL",IF(COUNTIFS('Leave Log'!$A$5:$A$304,$A25,'Leave Log'!$C$5:$C$304,"&lt;="&amp;W$5,'Leave Log'!$D$5:$D$304,"&gt;="&amp;W$5,'Leave Log'!$F$5:$F$304,"&lt;&gt;Rejected",'Leave Log'!$B$5:$B$304,"OT")&gt;0,"OT",""))))))</f>
        <v/>
      </c>
      <c r="X25" s="12" t="str">
        <f aca="false">IF(OR(X$5="",$A25=""),"",IF(COUNTIFS('Leave Log'!$A$5:$A$304,$A25,'Leave Log'!$C$5:$C$304,"&lt;="&amp;X$5,'Leave Log'!$D$5:$D$304,"&gt;="&amp;X$5,'Leave Log'!$F$5:$F$304,"&lt;&gt;Rejected",'Leave Log'!$B$5:$B$304,"AL")&gt;0,"AL",IF(COUNTIFS('Leave Log'!$A$5:$A$304,$A25,'Leave Log'!$C$5:$C$304,"&lt;="&amp;X$5,'Leave Log'!$D$5:$D$304,"&gt;="&amp;X$5,'Leave Log'!$F$5:$F$304,"&lt;&gt;Rejected",'Leave Log'!$B$5:$B$304,"SL")&gt;0,"SL",IF(COUNTIFS('Leave Log'!$A$5:$A$304,$A25,'Leave Log'!$C$5:$C$304,"&lt;="&amp;X$5,'Leave Log'!$D$5:$D$304,"&gt;="&amp;X$5,'Leave Log'!$F$5:$F$304,"&lt;&gt;Rejected",'Leave Log'!$B$5:$B$304,"CL")&gt;0,"CL",IF(COUNTIFS('Leave Log'!$A$5:$A$304,$A25,'Leave Log'!$C$5:$C$304,"&lt;="&amp;X$5,'Leave Log'!$D$5:$D$304,"&gt;="&amp;X$5,'Leave Log'!$F$5:$F$304,"&lt;&gt;Rejected",'Leave Log'!$B$5:$B$304,"UL")&gt;0,"UL",IF(COUNTIFS('Leave Log'!$A$5:$A$304,$A25,'Leave Log'!$C$5:$C$304,"&lt;="&amp;X$5,'Leave Log'!$D$5:$D$304,"&gt;="&amp;X$5,'Leave Log'!$F$5:$F$304,"&lt;&gt;Rejected",'Leave Log'!$B$5:$B$304,"OT")&gt;0,"OT",""))))))</f>
        <v/>
      </c>
      <c r="Y25" s="12" t="str">
        <f aca="false">IF(OR(Y$5="",$A25=""),"",IF(COUNTIFS('Leave Log'!$A$5:$A$304,$A25,'Leave Log'!$C$5:$C$304,"&lt;="&amp;Y$5,'Leave Log'!$D$5:$D$304,"&gt;="&amp;Y$5,'Leave Log'!$F$5:$F$304,"&lt;&gt;Rejected",'Leave Log'!$B$5:$B$304,"AL")&gt;0,"AL",IF(COUNTIFS('Leave Log'!$A$5:$A$304,$A25,'Leave Log'!$C$5:$C$304,"&lt;="&amp;Y$5,'Leave Log'!$D$5:$D$304,"&gt;="&amp;Y$5,'Leave Log'!$F$5:$F$304,"&lt;&gt;Rejected",'Leave Log'!$B$5:$B$304,"SL")&gt;0,"SL",IF(COUNTIFS('Leave Log'!$A$5:$A$304,$A25,'Leave Log'!$C$5:$C$304,"&lt;="&amp;Y$5,'Leave Log'!$D$5:$D$304,"&gt;="&amp;Y$5,'Leave Log'!$F$5:$F$304,"&lt;&gt;Rejected",'Leave Log'!$B$5:$B$304,"CL")&gt;0,"CL",IF(COUNTIFS('Leave Log'!$A$5:$A$304,$A25,'Leave Log'!$C$5:$C$304,"&lt;="&amp;Y$5,'Leave Log'!$D$5:$D$304,"&gt;="&amp;Y$5,'Leave Log'!$F$5:$F$304,"&lt;&gt;Rejected",'Leave Log'!$B$5:$B$304,"UL")&gt;0,"UL",IF(COUNTIFS('Leave Log'!$A$5:$A$304,$A25,'Leave Log'!$C$5:$C$304,"&lt;="&amp;Y$5,'Leave Log'!$D$5:$D$304,"&gt;="&amp;Y$5,'Leave Log'!$F$5:$F$304,"&lt;&gt;Rejected",'Leave Log'!$B$5:$B$304,"OT")&gt;0,"OT",""))))))</f>
        <v/>
      </c>
      <c r="Z25" s="12" t="str">
        <f aca="false">IF(OR(Z$5="",$A25=""),"",IF(COUNTIFS('Leave Log'!$A$5:$A$304,$A25,'Leave Log'!$C$5:$C$304,"&lt;="&amp;Z$5,'Leave Log'!$D$5:$D$304,"&gt;="&amp;Z$5,'Leave Log'!$F$5:$F$304,"&lt;&gt;Rejected",'Leave Log'!$B$5:$B$304,"AL")&gt;0,"AL",IF(COUNTIFS('Leave Log'!$A$5:$A$304,$A25,'Leave Log'!$C$5:$C$304,"&lt;="&amp;Z$5,'Leave Log'!$D$5:$D$304,"&gt;="&amp;Z$5,'Leave Log'!$F$5:$F$304,"&lt;&gt;Rejected",'Leave Log'!$B$5:$B$304,"SL")&gt;0,"SL",IF(COUNTIFS('Leave Log'!$A$5:$A$304,$A25,'Leave Log'!$C$5:$C$304,"&lt;="&amp;Z$5,'Leave Log'!$D$5:$D$304,"&gt;="&amp;Z$5,'Leave Log'!$F$5:$F$304,"&lt;&gt;Rejected",'Leave Log'!$B$5:$B$304,"CL")&gt;0,"CL",IF(COUNTIFS('Leave Log'!$A$5:$A$304,$A25,'Leave Log'!$C$5:$C$304,"&lt;="&amp;Z$5,'Leave Log'!$D$5:$D$304,"&gt;="&amp;Z$5,'Leave Log'!$F$5:$F$304,"&lt;&gt;Rejected",'Leave Log'!$B$5:$B$304,"UL")&gt;0,"UL",IF(COUNTIFS('Leave Log'!$A$5:$A$304,$A25,'Leave Log'!$C$5:$C$304,"&lt;="&amp;Z$5,'Leave Log'!$D$5:$D$304,"&gt;="&amp;Z$5,'Leave Log'!$F$5:$F$304,"&lt;&gt;Rejected",'Leave Log'!$B$5:$B$304,"OT")&gt;0,"OT",""))))))</f>
        <v/>
      </c>
      <c r="AA25" s="12" t="str">
        <f aca="false">IF(OR(AA$5="",$A25=""),"",IF(COUNTIFS('Leave Log'!$A$5:$A$304,$A25,'Leave Log'!$C$5:$C$304,"&lt;="&amp;AA$5,'Leave Log'!$D$5:$D$304,"&gt;="&amp;AA$5,'Leave Log'!$F$5:$F$304,"&lt;&gt;Rejected",'Leave Log'!$B$5:$B$304,"AL")&gt;0,"AL",IF(COUNTIFS('Leave Log'!$A$5:$A$304,$A25,'Leave Log'!$C$5:$C$304,"&lt;="&amp;AA$5,'Leave Log'!$D$5:$D$304,"&gt;="&amp;AA$5,'Leave Log'!$F$5:$F$304,"&lt;&gt;Rejected",'Leave Log'!$B$5:$B$304,"SL")&gt;0,"SL",IF(COUNTIFS('Leave Log'!$A$5:$A$304,$A25,'Leave Log'!$C$5:$C$304,"&lt;="&amp;AA$5,'Leave Log'!$D$5:$D$304,"&gt;="&amp;AA$5,'Leave Log'!$F$5:$F$304,"&lt;&gt;Rejected",'Leave Log'!$B$5:$B$304,"CL")&gt;0,"CL",IF(COUNTIFS('Leave Log'!$A$5:$A$304,$A25,'Leave Log'!$C$5:$C$304,"&lt;="&amp;AA$5,'Leave Log'!$D$5:$D$304,"&gt;="&amp;AA$5,'Leave Log'!$F$5:$F$304,"&lt;&gt;Rejected",'Leave Log'!$B$5:$B$304,"UL")&gt;0,"UL",IF(COUNTIFS('Leave Log'!$A$5:$A$304,$A25,'Leave Log'!$C$5:$C$304,"&lt;="&amp;AA$5,'Leave Log'!$D$5:$D$304,"&gt;="&amp;AA$5,'Leave Log'!$F$5:$F$304,"&lt;&gt;Rejected",'Leave Log'!$B$5:$B$304,"OT")&gt;0,"OT",""))))))</f>
        <v/>
      </c>
      <c r="AB25" s="12" t="str">
        <f aca="false">IF(OR(AB$5="",$A25=""),"",IF(COUNTIFS('Leave Log'!$A$5:$A$304,$A25,'Leave Log'!$C$5:$C$304,"&lt;="&amp;AB$5,'Leave Log'!$D$5:$D$304,"&gt;="&amp;AB$5,'Leave Log'!$F$5:$F$304,"&lt;&gt;Rejected",'Leave Log'!$B$5:$B$304,"AL")&gt;0,"AL",IF(COUNTIFS('Leave Log'!$A$5:$A$304,$A25,'Leave Log'!$C$5:$C$304,"&lt;="&amp;AB$5,'Leave Log'!$D$5:$D$304,"&gt;="&amp;AB$5,'Leave Log'!$F$5:$F$304,"&lt;&gt;Rejected",'Leave Log'!$B$5:$B$304,"SL")&gt;0,"SL",IF(COUNTIFS('Leave Log'!$A$5:$A$304,$A25,'Leave Log'!$C$5:$C$304,"&lt;="&amp;AB$5,'Leave Log'!$D$5:$D$304,"&gt;="&amp;AB$5,'Leave Log'!$F$5:$F$304,"&lt;&gt;Rejected",'Leave Log'!$B$5:$B$304,"CL")&gt;0,"CL",IF(COUNTIFS('Leave Log'!$A$5:$A$304,$A25,'Leave Log'!$C$5:$C$304,"&lt;="&amp;AB$5,'Leave Log'!$D$5:$D$304,"&gt;="&amp;AB$5,'Leave Log'!$F$5:$F$304,"&lt;&gt;Rejected",'Leave Log'!$B$5:$B$304,"UL")&gt;0,"UL",IF(COUNTIFS('Leave Log'!$A$5:$A$304,$A25,'Leave Log'!$C$5:$C$304,"&lt;="&amp;AB$5,'Leave Log'!$D$5:$D$304,"&gt;="&amp;AB$5,'Leave Log'!$F$5:$F$304,"&lt;&gt;Rejected",'Leave Log'!$B$5:$B$304,"OT")&gt;0,"OT",""))))))</f>
        <v/>
      </c>
      <c r="AC25" s="12" t="str">
        <f aca="false">IF(OR(AC$5="",$A25=""),"",IF(COUNTIFS('Leave Log'!$A$5:$A$304,$A25,'Leave Log'!$C$5:$C$304,"&lt;="&amp;AC$5,'Leave Log'!$D$5:$D$304,"&gt;="&amp;AC$5,'Leave Log'!$F$5:$F$304,"&lt;&gt;Rejected",'Leave Log'!$B$5:$B$304,"AL")&gt;0,"AL",IF(COUNTIFS('Leave Log'!$A$5:$A$304,$A25,'Leave Log'!$C$5:$C$304,"&lt;="&amp;AC$5,'Leave Log'!$D$5:$D$304,"&gt;="&amp;AC$5,'Leave Log'!$F$5:$F$304,"&lt;&gt;Rejected",'Leave Log'!$B$5:$B$304,"SL")&gt;0,"SL",IF(COUNTIFS('Leave Log'!$A$5:$A$304,$A25,'Leave Log'!$C$5:$C$304,"&lt;="&amp;AC$5,'Leave Log'!$D$5:$D$304,"&gt;="&amp;AC$5,'Leave Log'!$F$5:$F$304,"&lt;&gt;Rejected",'Leave Log'!$B$5:$B$304,"CL")&gt;0,"CL",IF(COUNTIFS('Leave Log'!$A$5:$A$304,$A25,'Leave Log'!$C$5:$C$304,"&lt;="&amp;AC$5,'Leave Log'!$D$5:$D$304,"&gt;="&amp;AC$5,'Leave Log'!$F$5:$F$304,"&lt;&gt;Rejected",'Leave Log'!$B$5:$B$304,"UL")&gt;0,"UL",IF(COUNTIFS('Leave Log'!$A$5:$A$304,$A25,'Leave Log'!$C$5:$C$304,"&lt;="&amp;AC$5,'Leave Log'!$D$5:$D$304,"&gt;="&amp;AC$5,'Leave Log'!$F$5:$F$304,"&lt;&gt;Rejected",'Leave Log'!$B$5:$B$304,"OT")&gt;0,"OT",""))))))</f>
        <v/>
      </c>
      <c r="AD25" s="12" t="str">
        <f aca="false">IF(OR(AD$5="",$A25=""),"",IF(COUNTIFS('Leave Log'!$A$5:$A$304,$A25,'Leave Log'!$C$5:$C$304,"&lt;="&amp;AD$5,'Leave Log'!$D$5:$D$304,"&gt;="&amp;AD$5,'Leave Log'!$F$5:$F$304,"&lt;&gt;Rejected",'Leave Log'!$B$5:$B$304,"AL")&gt;0,"AL",IF(COUNTIFS('Leave Log'!$A$5:$A$304,$A25,'Leave Log'!$C$5:$C$304,"&lt;="&amp;AD$5,'Leave Log'!$D$5:$D$304,"&gt;="&amp;AD$5,'Leave Log'!$F$5:$F$304,"&lt;&gt;Rejected",'Leave Log'!$B$5:$B$304,"SL")&gt;0,"SL",IF(COUNTIFS('Leave Log'!$A$5:$A$304,$A25,'Leave Log'!$C$5:$C$304,"&lt;="&amp;AD$5,'Leave Log'!$D$5:$D$304,"&gt;="&amp;AD$5,'Leave Log'!$F$5:$F$304,"&lt;&gt;Rejected",'Leave Log'!$B$5:$B$304,"CL")&gt;0,"CL",IF(COUNTIFS('Leave Log'!$A$5:$A$304,$A25,'Leave Log'!$C$5:$C$304,"&lt;="&amp;AD$5,'Leave Log'!$D$5:$D$304,"&gt;="&amp;AD$5,'Leave Log'!$F$5:$F$304,"&lt;&gt;Rejected",'Leave Log'!$B$5:$B$304,"UL")&gt;0,"UL",IF(COUNTIFS('Leave Log'!$A$5:$A$304,$A25,'Leave Log'!$C$5:$C$304,"&lt;="&amp;AD$5,'Leave Log'!$D$5:$D$304,"&gt;="&amp;AD$5,'Leave Log'!$F$5:$F$304,"&lt;&gt;Rejected",'Leave Log'!$B$5:$B$304,"OT")&gt;0,"OT",""))))))</f>
        <v/>
      </c>
      <c r="AE25" s="12" t="str">
        <f aca="false">IF(OR(AE$5="",$A25=""),"",IF(COUNTIFS('Leave Log'!$A$5:$A$304,$A25,'Leave Log'!$C$5:$C$304,"&lt;="&amp;AE$5,'Leave Log'!$D$5:$D$304,"&gt;="&amp;AE$5,'Leave Log'!$F$5:$F$304,"&lt;&gt;Rejected",'Leave Log'!$B$5:$B$304,"AL")&gt;0,"AL",IF(COUNTIFS('Leave Log'!$A$5:$A$304,$A25,'Leave Log'!$C$5:$C$304,"&lt;="&amp;AE$5,'Leave Log'!$D$5:$D$304,"&gt;="&amp;AE$5,'Leave Log'!$F$5:$F$304,"&lt;&gt;Rejected",'Leave Log'!$B$5:$B$304,"SL")&gt;0,"SL",IF(COUNTIFS('Leave Log'!$A$5:$A$304,$A25,'Leave Log'!$C$5:$C$304,"&lt;="&amp;AE$5,'Leave Log'!$D$5:$D$304,"&gt;="&amp;AE$5,'Leave Log'!$F$5:$F$304,"&lt;&gt;Rejected",'Leave Log'!$B$5:$B$304,"CL")&gt;0,"CL",IF(COUNTIFS('Leave Log'!$A$5:$A$304,$A25,'Leave Log'!$C$5:$C$304,"&lt;="&amp;AE$5,'Leave Log'!$D$5:$D$304,"&gt;="&amp;AE$5,'Leave Log'!$F$5:$F$304,"&lt;&gt;Rejected",'Leave Log'!$B$5:$B$304,"UL")&gt;0,"UL",IF(COUNTIFS('Leave Log'!$A$5:$A$304,$A25,'Leave Log'!$C$5:$C$304,"&lt;="&amp;AE$5,'Leave Log'!$D$5:$D$304,"&gt;="&amp;AE$5,'Leave Log'!$F$5:$F$304,"&lt;&gt;Rejected",'Leave Log'!$B$5:$B$304,"OT")&gt;0,"OT",""))))))</f>
        <v/>
      </c>
      <c r="AF25" s="12" t="str">
        <f aca="false">IF(OR(AF$5="",$A25=""),"",IF(COUNTIFS('Leave Log'!$A$5:$A$304,$A25,'Leave Log'!$C$5:$C$304,"&lt;="&amp;AF$5,'Leave Log'!$D$5:$D$304,"&gt;="&amp;AF$5,'Leave Log'!$F$5:$F$304,"&lt;&gt;Rejected",'Leave Log'!$B$5:$B$304,"AL")&gt;0,"AL",IF(COUNTIFS('Leave Log'!$A$5:$A$304,$A25,'Leave Log'!$C$5:$C$304,"&lt;="&amp;AF$5,'Leave Log'!$D$5:$D$304,"&gt;="&amp;AF$5,'Leave Log'!$F$5:$F$304,"&lt;&gt;Rejected",'Leave Log'!$B$5:$B$304,"SL")&gt;0,"SL",IF(COUNTIFS('Leave Log'!$A$5:$A$304,$A25,'Leave Log'!$C$5:$C$304,"&lt;="&amp;AF$5,'Leave Log'!$D$5:$D$304,"&gt;="&amp;AF$5,'Leave Log'!$F$5:$F$304,"&lt;&gt;Rejected",'Leave Log'!$B$5:$B$304,"CL")&gt;0,"CL",IF(COUNTIFS('Leave Log'!$A$5:$A$304,$A25,'Leave Log'!$C$5:$C$304,"&lt;="&amp;AF$5,'Leave Log'!$D$5:$D$304,"&gt;="&amp;AF$5,'Leave Log'!$F$5:$F$304,"&lt;&gt;Rejected",'Leave Log'!$B$5:$B$304,"UL")&gt;0,"UL",IF(COUNTIFS('Leave Log'!$A$5:$A$304,$A25,'Leave Log'!$C$5:$C$304,"&lt;="&amp;AF$5,'Leave Log'!$D$5:$D$304,"&gt;="&amp;AF$5,'Leave Log'!$F$5:$F$304,"&lt;&gt;Rejected",'Leave Log'!$B$5:$B$304,"OT")&gt;0,"OT",""))))))</f>
        <v/>
      </c>
      <c r="AG25" s="12" t="str">
        <f aca="false">IF(OR(AG$5="",$A25=""),"",IF(COUNTIFS('Leave Log'!$A$5:$A$304,$A25,'Leave Log'!$C$5:$C$304,"&lt;="&amp;AG$5,'Leave Log'!$D$5:$D$304,"&gt;="&amp;AG$5,'Leave Log'!$F$5:$F$304,"&lt;&gt;Rejected",'Leave Log'!$B$5:$B$304,"AL")&gt;0,"AL",IF(COUNTIFS('Leave Log'!$A$5:$A$304,$A25,'Leave Log'!$C$5:$C$304,"&lt;="&amp;AG$5,'Leave Log'!$D$5:$D$304,"&gt;="&amp;AG$5,'Leave Log'!$F$5:$F$304,"&lt;&gt;Rejected",'Leave Log'!$B$5:$B$304,"SL")&gt;0,"SL",IF(COUNTIFS('Leave Log'!$A$5:$A$304,$A25,'Leave Log'!$C$5:$C$304,"&lt;="&amp;AG$5,'Leave Log'!$D$5:$D$304,"&gt;="&amp;AG$5,'Leave Log'!$F$5:$F$304,"&lt;&gt;Rejected",'Leave Log'!$B$5:$B$304,"CL")&gt;0,"CL",IF(COUNTIFS('Leave Log'!$A$5:$A$304,$A25,'Leave Log'!$C$5:$C$304,"&lt;="&amp;AG$5,'Leave Log'!$D$5:$D$304,"&gt;="&amp;AG$5,'Leave Log'!$F$5:$F$304,"&lt;&gt;Rejected",'Leave Log'!$B$5:$B$304,"UL")&gt;0,"UL",IF(COUNTIFS('Leave Log'!$A$5:$A$304,$A25,'Leave Log'!$C$5:$C$304,"&lt;="&amp;AG$5,'Leave Log'!$D$5:$D$304,"&gt;="&amp;AG$5,'Leave Log'!$F$5:$F$304,"&lt;&gt;Rejected",'Leave Log'!$B$5:$B$304,"OT")&gt;0,"OT",""))))))</f>
        <v/>
      </c>
    </row>
    <row r="26" customFormat="false" ht="15" hidden="false" customHeight="false" outlineLevel="0" collapsed="false">
      <c r="A26" s="3" t="s">
        <v>6</v>
      </c>
      <c r="C26" s="13" t="n">
        <f aca="false">IF(C$5="","",COUNTIF(C6:C25,"?*"))</f>
        <v>0</v>
      </c>
      <c r="D26" s="13" t="n">
        <f aca="false">IF(D$5="","",COUNTIF(D6:D25,"?*"))</f>
        <v>0</v>
      </c>
      <c r="E26" s="13" t="n">
        <f aca="false">IF(E$5="","",COUNTIF(E6:E25,"?*"))</f>
        <v>0</v>
      </c>
      <c r="F26" s="13" t="n">
        <f aca="false">IF(F$5="","",COUNTIF(F6:F25,"?*"))</f>
        <v>0</v>
      </c>
      <c r="G26" s="13" t="n">
        <f aca="false">IF(G$5="","",COUNTIF(G6:G25,"?*"))</f>
        <v>0</v>
      </c>
      <c r="H26" s="13" t="n">
        <f aca="false">IF(H$5="","",COUNTIF(H6:H25,"?*"))</f>
        <v>0</v>
      </c>
      <c r="I26" s="13" t="n">
        <f aca="false">IF(I$5="","",COUNTIF(I6:I25,"?*"))</f>
        <v>0</v>
      </c>
      <c r="J26" s="13" t="n">
        <f aca="false">IF(J$5="","",COUNTIF(J6:J25,"?*"))</f>
        <v>0</v>
      </c>
      <c r="K26" s="13" t="n">
        <f aca="false">IF(K$5="","",COUNTIF(K6:K25,"?*"))</f>
        <v>0</v>
      </c>
      <c r="L26" s="13" t="n">
        <f aca="false">IF(L$5="","",COUNTIF(L6:L25,"?*"))</f>
        <v>0</v>
      </c>
      <c r="M26" s="13" t="n">
        <f aca="false">IF(M$5="","",COUNTIF(M6:M25,"?*"))</f>
        <v>0</v>
      </c>
      <c r="N26" s="13" t="n">
        <f aca="false">IF(N$5="","",COUNTIF(N6:N25,"?*"))</f>
        <v>0</v>
      </c>
      <c r="O26" s="13" t="n">
        <f aca="false">IF(O$5="","",COUNTIF(O6:O25,"?*"))</f>
        <v>0</v>
      </c>
      <c r="P26" s="13" t="n">
        <f aca="false">IF(P$5="","",COUNTIF(P6:P25,"?*"))</f>
        <v>0</v>
      </c>
      <c r="Q26" s="13" t="n">
        <f aca="false">IF(Q$5="","",COUNTIF(Q6:Q25,"?*"))</f>
        <v>0</v>
      </c>
      <c r="R26" s="13" t="n">
        <f aca="false">IF(R$5="","",COUNTIF(R6:R25,"?*"))</f>
        <v>0</v>
      </c>
      <c r="S26" s="13" t="n">
        <f aca="false">IF(S$5="","",COUNTIF(S6:S25,"?*"))</f>
        <v>0</v>
      </c>
      <c r="T26" s="13" t="n">
        <f aca="false">IF(T$5="","",COUNTIF(T6:T25,"?*"))</f>
        <v>0</v>
      </c>
      <c r="U26" s="13" t="n">
        <f aca="false">IF(U$5="","",COUNTIF(U6:U25,"?*"))</f>
        <v>0</v>
      </c>
      <c r="V26" s="13" t="n">
        <f aca="false">IF(V$5="","",COUNTIF(V6:V25,"?*"))</f>
        <v>0</v>
      </c>
      <c r="W26" s="13" t="n">
        <f aca="false">IF(W$5="","",COUNTIF(W6:W25,"?*"))</f>
        <v>0</v>
      </c>
      <c r="X26" s="13" t="n">
        <f aca="false">IF(X$5="","",COUNTIF(X6:X25,"?*"))</f>
        <v>1</v>
      </c>
      <c r="Y26" s="13" t="n">
        <f aca="false">IF(Y$5="","",COUNTIF(Y6:Y25,"?*"))</f>
        <v>1</v>
      </c>
      <c r="Z26" s="13" t="n">
        <f aca="false">IF(Z$5="","",COUNTIF(Z6:Z25,"?*"))</f>
        <v>0</v>
      </c>
      <c r="AA26" s="13" t="n">
        <f aca="false">IF(AA$5="","",COUNTIF(AA6:AA25,"?*"))</f>
        <v>0</v>
      </c>
      <c r="AB26" s="13" t="n">
        <f aca="false">IF(AB$5="","",COUNTIF(AB6:AB25,"?*"))</f>
        <v>2</v>
      </c>
      <c r="AC26" s="13" t="n">
        <f aca="false">IF(AC$5="","",COUNTIF(AC6:AC25,"?*"))</f>
        <v>2</v>
      </c>
      <c r="AD26" s="13" t="n">
        <f aca="false">IF(AD$5="","",COUNTIF(AD6:AD25,"?*"))</f>
        <v>3</v>
      </c>
      <c r="AE26" s="13" t="n">
        <f aca="false">IF(AE$5="","",COUNTIF(AE6:AE25,"?*"))</f>
        <v>3</v>
      </c>
      <c r="AF26" s="13" t="n">
        <f aca="false">IF(AF$5="","",COUNTIF(AF6:AF25,"?*"))</f>
        <v>2</v>
      </c>
      <c r="AG26" s="13" t="n">
        <f aca="false">IF(AG$5="","",COUNTIF(AG6:AG25,"?*"))</f>
        <v>1</v>
      </c>
    </row>
    <row r="27" customFormat="false" ht="15" hidden="false" customHeight="false" outlineLevel="0" collapsed="false">
      <c r="A27" s="3" t="s">
        <v>7</v>
      </c>
      <c r="C27" s="14" t="str">
        <f aca="false">IF(C$5="","",IF(OR(WEEKDAY(C$5,2)&gt;5,COUNTIF(Setup!$G$9:$G$23,C$5)&gt;0),"",COUNTA(Employees!$B$5:$B$24)-C26))</f>
        <v/>
      </c>
      <c r="D27" s="14" t="n">
        <f aca="false">IF(D$5="","",IF(OR(WEEKDAY(D$5,2)&gt;5,COUNTIF(Setup!$G$9:$G$23,D$5)&gt;0),"",COUNTA(Employees!$B$5:$B$24)-D26))</f>
        <v>8</v>
      </c>
      <c r="E27" s="14" t="str">
        <f aca="false">IF(E$5="","",IF(OR(WEEKDAY(E$5,2)&gt;5,COUNTIF(Setup!$G$9:$G$23,E$5)&gt;0),"",COUNTA(Employees!$B$5:$B$24)-E26))</f>
        <v/>
      </c>
      <c r="F27" s="14" t="str">
        <f aca="false">IF(F$5="","",IF(OR(WEEKDAY(F$5,2)&gt;5,COUNTIF(Setup!$G$9:$G$23,F$5)&gt;0),"",COUNTA(Employees!$B$5:$B$24)-F26))</f>
        <v/>
      </c>
      <c r="G27" s="14" t="n">
        <f aca="false">IF(G$5="","",IF(OR(WEEKDAY(G$5,2)&gt;5,COUNTIF(Setup!$G$9:$G$23,G$5)&gt;0),"",COUNTA(Employees!$B$5:$B$24)-G26))</f>
        <v>8</v>
      </c>
      <c r="H27" s="14" t="n">
        <f aca="false">IF(H$5="","",IF(OR(WEEKDAY(H$5,2)&gt;5,COUNTIF(Setup!$G$9:$G$23,H$5)&gt;0),"",COUNTA(Employees!$B$5:$B$24)-H26))</f>
        <v>8</v>
      </c>
      <c r="I27" s="14" t="n">
        <f aca="false">IF(I$5="","",IF(OR(WEEKDAY(I$5,2)&gt;5,COUNTIF(Setup!$G$9:$G$23,I$5)&gt;0),"",COUNTA(Employees!$B$5:$B$24)-I26))</f>
        <v>8</v>
      </c>
      <c r="J27" s="14" t="n">
        <f aca="false">IF(J$5="","",IF(OR(WEEKDAY(J$5,2)&gt;5,COUNTIF(Setup!$G$9:$G$23,J$5)&gt;0),"",COUNTA(Employees!$B$5:$B$24)-J26))</f>
        <v>8</v>
      </c>
      <c r="K27" s="14" t="n">
        <f aca="false">IF(K$5="","",IF(OR(WEEKDAY(K$5,2)&gt;5,COUNTIF(Setup!$G$9:$G$23,K$5)&gt;0),"",COUNTA(Employees!$B$5:$B$24)-K26))</f>
        <v>8</v>
      </c>
      <c r="L27" s="14" t="str">
        <f aca="false">IF(L$5="","",IF(OR(WEEKDAY(L$5,2)&gt;5,COUNTIF(Setup!$G$9:$G$23,L$5)&gt;0),"",COUNTA(Employees!$B$5:$B$24)-L26))</f>
        <v/>
      </c>
      <c r="M27" s="14" t="str">
        <f aca="false">IF(M$5="","",IF(OR(WEEKDAY(M$5,2)&gt;5,COUNTIF(Setup!$G$9:$G$23,M$5)&gt;0),"",COUNTA(Employees!$B$5:$B$24)-M26))</f>
        <v/>
      </c>
      <c r="N27" s="14" t="n">
        <f aca="false">IF(N$5="","",IF(OR(WEEKDAY(N$5,2)&gt;5,COUNTIF(Setup!$G$9:$G$23,N$5)&gt;0),"",COUNTA(Employees!$B$5:$B$24)-N26))</f>
        <v>8</v>
      </c>
      <c r="O27" s="14" t="n">
        <f aca="false">IF(O$5="","",IF(OR(WEEKDAY(O$5,2)&gt;5,COUNTIF(Setup!$G$9:$G$23,O$5)&gt;0),"",COUNTA(Employees!$B$5:$B$24)-O26))</f>
        <v>8</v>
      </c>
      <c r="P27" s="14" t="n">
        <f aca="false">IF(P$5="","",IF(OR(WEEKDAY(P$5,2)&gt;5,COUNTIF(Setup!$G$9:$G$23,P$5)&gt;0),"",COUNTA(Employees!$B$5:$B$24)-P26))</f>
        <v>8</v>
      </c>
      <c r="Q27" s="14" t="n">
        <f aca="false">IF(Q$5="","",IF(OR(WEEKDAY(Q$5,2)&gt;5,COUNTIF(Setup!$G$9:$G$23,Q$5)&gt;0),"",COUNTA(Employees!$B$5:$B$24)-Q26))</f>
        <v>8</v>
      </c>
      <c r="R27" s="14" t="n">
        <f aca="false">IF(R$5="","",IF(OR(WEEKDAY(R$5,2)&gt;5,COUNTIF(Setup!$G$9:$G$23,R$5)&gt;0),"",COUNTA(Employees!$B$5:$B$24)-R26))</f>
        <v>8</v>
      </c>
      <c r="S27" s="14" t="str">
        <f aca="false">IF(S$5="","",IF(OR(WEEKDAY(S$5,2)&gt;5,COUNTIF(Setup!$G$9:$G$23,S$5)&gt;0),"",COUNTA(Employees!$B$5:$B$24)-S26))</f>
        <v/>
      </c>
      <c r="T27" s="14" t="str">
        <f aca="false">IF(T$5="","",IF(OR(WEEKDAY(T$5,2)&gt;5,COUNTIF(Setup!$G$9:$G$23,T$5)&gt;0),"",COUNTA(Employees!$B$5:$B$24)-T26))</f>
        <v/>
      </c>
      <c r="U27" s="14" t="n">
        <f aca="false">IF(U$5="","",IF(OR(WEEKDAY(U$5,2)&gt;5,COUNTIF(Setup!$G$9:$G$23,U$5)&gt;0),"",COUNTA(Employees!$B$5:$B$24)-U26))</f>
        <v>8</v>
      </c>
      <c r="V27" s="14" t="n">
        <f aca="false">IF(V$5="","",IF(OR(WEEKDAY(V$5,2)&gt;5,COUNTIF(Setup!$G$9:$G$23,V$5)&gt;0),"",COUNTA(Employees!$B$5:$B$24)-V26))</f>
        <v>8</v>
      </c>
      <c r="W27" s="14" t="n">
        <f aca="false">IF(W$5="","",IF(OR(WEEKDAY(W$5,2)&gt;5,COUNTIF(Setup!$G$9:$G$23,W$5)&gt;0),"",COUNTA(Employees!$B$5:$B$24)-W26))</f>
        <v>8</v>
      </c>
      <c r="X27" s="14" t="n">
        <f aca="false">IF(X$5="","",IF(OR(WEEKDAY(X$5,2)&gt;5,COUNTIF(Setup!$G$9:$G$23,X$5)&gt;0),"",COUNTA(Employees!$B$5:$B$24)-X26))</f>
        <v>7</v>
      </c>
      <c r="Y27" s="14" t="n">
        <f aca="false">IF(Y$5="","",IF(OR(WEEKDAY(Y$5,2)&gt;5,COUNTIF(Setup!$G$9:$G$23,Y$5)&gt;0),"",COUNTA(Employees!$B$5:$B$24)-Y26))</f>
        <v>7</v>
      </c>
      <c r="Z27" s="14" t="str">
        <f aca="false">IF(Z$5="","",IF(OR(WEEKDAY(Z$5,2)&gt;5,COUNTIF(Setup!$G$9:$G$23,Z$5)&gt;0),"",COUNTA(Employees!$B$5:$B$24)-Z26))</f>
        <v/>
      </c>
      <c r="AA27" s="14" t="str">
        <f aca="false">IF(AA$5="","",IF(OR(WEEKDAY(AA$5,2)&gt;5,COUNTIF(Setup!$G$9:$G$23,AA$5)&gt;0),"",COUNTA(Employees!$B$5:$B$24)-AA26))</f>
        <v/>
      </c>
      <c r="AB27" s="14" t="n">
        <f aca="false">IF(AB$5="","",IF(OR(WEEKDAY(AB$5,2)&gt;5,COUNTIF(Setup!$G$9:$G$23,AB$5)&gt;0),"",COUNTA(Employees!$B$5:$B$24)-AB26))</f>
        <v>6</v>
      </c>
      <c r="AC27" s="14" t="n">
        <f aca="false">IF(AC$5="","",IF(OR(WEEKDAY(AC$5,2)&gt;5,COUNTIF(Setup!$G$9:$G$23,AC$5)&gt;0),"",COUNTA(Employees!$B$5:$B$24)-AC26))</f>
        <v>6</v>
      </c>
      <c r="AD27" s="14" t="n">
        <f aca="false">IF(AD$5="","",IF(OR(WEEKDAY(AD$5,2)&gt;5,COUNTIF(Setup!$G$9:$G$23,AD$5)&gt;0),"",COUNTA(Employees!$B$5:$B$24)-AD26))</f>
        <v>5</v>
      </c>
      <c r="AE27" s="14" t="n">
        <f aca="false">IF(AE$5="","",IF(OR(WEEKDAY(AE$5,2)&gt;5,COUNTIF(Setup!$G$9:$G$23,AE$5)&gt;0),"",COUNTA(Employees!$B$5:$B$24)-AE26))</f>
        <v>5</v>
      </c>
      <c r="AF27" s="14" t="n">
        <f aca="false">IF(AF$5="","",IF(OR(WEEKDAY(AF$5,2)&gt;5,COUNTIF(Setup!$G$9:$G$23,AF$5)&gt;0),"",COUNTA(Employees!$B$5:$B$24)-AF26))</f>
        <v>6</v>
      </c>
      <c r="AG27" s="14" t="str">
        <f aca="false">IF(AG$5="","",IF(OR(WEEKDAY(AG$5,2)&gt;5,COUNTIF(Setup!$G$9:$G$23,AG$5)&gt;0),"",COUNTA(Employees!$B$5:$B$24)-AG26))</f>
        <v/>
      </c>
    </row>
    <row r="28" customFormat="false" ht="15" hidden="false" customHeight="false" outlineLevel="0" collapsed="false">
      <c r="A28" s="3" t="s">
        <v>8</v>
      </c>
      <c r="C28" s="15" t="str">
        <f aca="false">IF(C27="","",IF(C27&lt;Setup!$B$5,"!",""))</f>
        <v/>
      </c>
      <c r="D28" s="15" t="str">
        <f aca="false">IF(D27="","",IF(D27&lt;Setup!$B$5,"!",""))</f>
        <v/>
      </c>
      <c r="E28" s="15" t="str">
        <f aca="false">IF(E27="","",IF(E27&lt;Setup!$B$5,"!",""))</f>
        <v/>
      </c>
      <c r="F28" s="15" t="str">
        <f aca="false">IF(F27="","",IF(F27&lt;Setup!$B$5,"!",""))</f>
        <v/>
      </c>
      <c r="G28" s="15" t="str">
        <f aca="false">IF(G27="","",IF(G27&lt;Setup!$B$5,"!",""))</f>
        <v/>
      </c>
      <c r="H28" s="15" t="str">
        <f aca="false">IF(H27="","",IF(H27&lt;Setup!$B$5,"!",""))</f>
        <v/>
      </c>
      <c r="I28" s="15" t="str">
        <f aca="false">IF(I27="","",IF(I27&lt;Setup!$B$5,"!",""))</f>
        <v/>
      </c>
      <c r="J28" s="15" t="str">
        <f aca="false">IF(J27="","",IF(J27&lt;Setup!$B$5,"!",""))</f>
        <v/>
      </c>
      <c r="K28" s="15" t="str">
        <f aca="false">IF(K27="","",IF(K27&lt;Setup!$B$5,"!",""))</f>
        <v/>
      </c>
      <c r="L28" s="15" t="str">
        <f aca="false">IF(L27="","",IF(L27&lt;Setup!$B$5,"!",""))</f>
        <v/>
      </c>
      <c r="M28" s="15" t="str">
        <f aca="false">IF(M27="","",IF(M27&lt;Setup!$B$5,"!",""))</f>
        <v/>
      </c>
      <c r="N28" s="15" t="str">
        <f aca="false">IF(N27="","",IF(N27&lt;Setup!$B$5,"!",""))</f>
        <v/>
      </c>
      <c r="O28" s="15" t="str">
        <f aca="false">IF(O27="","",IF(O27&lt;Setup!$B$5,"!",""))</f>
        <v/>
      </c>
      <c r="P28" s="15" t="str">
        <f aca="false">IF(P27="","",IF(P27&lt;Setup!$B$5,"!",""))</f>
        <v/>
      </c>
      <c r="Q28" s="15" t="str">
        <f aca="false">IF(Q27="","",IF(Q27&lt;Setup!$B$5,"!",""))</f>
        <v/>
      </c>
      <c r="R28" s="15" t="str">
        <f aca="false">IF(R27="","",IF(R27&lt;Setup!$B$5,"!",""))</f>
        <v/>
      </c>
      <c r="S28" s="15" t="str">
        <f aca="false">IF(S27="","",IF(S27&lt;Setup!$B$5,"!",""))</f>
        <v/>
      </c>
      <c r="T28" s="15" t="str">
        <f aca="false">IF(T27="","",IF(T27&lt;Setup!$B$5,"!",""))</f>
        <v/>
      </c>
      <c r="U28" s="15" t="str">
        <f aca="false">IF(U27="","",IF(U27&lt;Setup!$B$5,"!",""))</f>
        <v/>
      </c>
      <c r="V28" s="15" t="str">
        <f aca="false">IF(V27="","",IF(V27&lt;Setup!$B$5,"!",""))</f>
        <v/>
      </c>
      <c r="W28" s="15" t="str">
        <f aca="false">IF(W27="","",IF(W27&lt;Setup!$B$5,"!",""))</f>
        <v/>
      </c>
      <c r="X28" s="15" t="str">
        <f aca="false">IF(X27="","",IF(X27&lt;Setup!$B$5,"!",""))</f>
        <v/>
      </c>
      <c r="Y28" s="15" t="str">
        <f aca="false">IF(Y27="","",IF(Y27&lt;Setup!$B$5,"!",""))</f>
        <v/>
      </c>
      <c r="Z28" s="15" t="str">
        <f aca="false">IF(Z27="","",IF(Z27&lt;Setup!$B$5,"!",""))</f>
        <v/>
      </c>
      <c r="AA28" s="15" t="str">
        <f aca="false">IF(AA27="","",IF(AA27&lt;Setup!$B$5,"!",""))</f>
        <v/>
      </c>
      <c r="AB28" s="15" t="str">
        <f aca="false">IF(AB27="","",IF(AB27&lt;Setup!$B$5,"!",""))</f>
        <v/>
      </c>
      <c r="AC28" s="15" t="str">
        <f aca="false">IF(AC27="","",IF(AC27&lt;Setup!$B$5,"!",""))</f>
        <v/>
      </c>
      <c r="AD28" s="15" t="str">
        <f aca="false">IF(AD27="","",IF(AD27&lt;Setup!$B$5,"!",""))</f>
        <v/>
      </c>
      <c r="AE28" s="15" t="str">
        <f aca="false">IF(AE27="","",IF(AE27&lt;Setup!$B$5,"!",""))</f>
        <v/>
      </c>
      <c r="AF28" s="15" t="str">
        <f aca="false">IF(AF27="","",IF(AF27&lt;Setup!$B$5,"!",""))</f>
        <v/>
      </c>
      <c r="AG28" s="15" t="str">
        <f aca="false">IF(AG27="","",IF(AG27&lt;Setup!$B$5,"!",""))</f>
        <v/>
      </c>
    </row>
    <row r="30" customFormat="false" ht="15" hidden="false" customHeight="false" outlineLevel="0" collapsed="false">
      <c r="A30" s="3" t="s">
        <v>9</v>
      </c>
    </row>
    <row r="31" customFormat="false" ht="15" hidden="false" customHeight="false" outlineLevel="0" collapsed="false">
      <c r="A31" s="16" t="s">
        <v>10</v>
      </c>
    </row>
    <row r="32" customFormat="false" ht="15" hidden="false" customHeight="false" outlineLevel="0" collapsed="false">
      <c r="A32" s="17" t="s">
        <v>11</v>
      </c>
    </row>
    <row r="33" customFormat="false" ht="15" hidden="false" customHeight="false" outlineLevel="0" collapsed="false">
      <c r="A33" s="18" t="s">
        <v>12</v>
      </c>
    </row>
    <row r="34" customFormat="false" ht="15" hidden="false" customHeight="false" outlineLevel="0" collapsed="false">
      <c r="A34" s="19" t="s">
        <v>13</v>
      </c>
    </row>
    <row r="35" customFormat="false" ht="15" hidden="false" customHeight="false" outlineLevel="0" collapsed="false">
      <c r="A35" s="20" t="s">
        <v>14</v>
      </c>
    </row>
    <row r="36" customFormat="false" ht="15" hidden="false" customHeight="false" outlineLevel="0" collapsed="false">
      <c r="A36" s="21" t="s">
        <v>15</v>
      </c>
    </row>
    <row r="37" customFormat="false" ht="15" hidden="false" customHeight="false" outlineLevel="0" collapsed="false">
      <c r="A37" s="21" t="s">
        <v>16</v>
      </c>
    </row>
  </sheetData>
  <conditionalFormatting sqref="C6:AG25">
    <cfRule type="cellIs" priority="2" operator="equal" aboveAverage="0" equalAverage="0" bottom="0" percent="0" rank="0" text="" dxfId="0">
      <formula>"AL"</formula>
    </cfRule>
    <cfRule type="cellIs" priority="3" operator="equal" aboveAverage="0" equalAverage="0" bottom="0" percent="0" rank="0" text="" dxfId="1">
      <formula>"SL"</formula>
    </cfRule>
    <cfRule type="cellIs" priority="4" operator="equal" aboveAverage="0" equalAverage="0" bottom="0" percent="0" rank="0" text="" dxfId="2">
      <formula>"CL"</formula>
    </cfRule>
    <cfRule type="cellIs" priority="5" operator="equal" aboveAverage="0" equalAverage="0" bottom="0" percent="0" rank="0" text="" dxfId="3">
      <formula>"UL"</formula>
    </cfRule>
    <cfRule type="cellIs" priority="6" operator="equal" aboveAverage="0" equalAverage="0" bottom="0" percent="0" rank="0" text="" dxfId="4">
      <formula>"OT"</formula>
    </cfRule>
    <cfRule type="expression" priority="7" aboveAverage="0" equalAverage="0" bottom="0" percent="0" rank="0" text="" dxfId="5">
      <formula>AND(C$5&lt;&gt;"",OR(WEEKDAY(C$5,2)&gt;5,COUNTIF(Setup!$G$9:$G$23,C$5)&gt;0))</formula>
    </cfRule>
  </conditionalFormatting>
  <conditionalFormatting sqref="C27:AG27">
    <cfRule type="cellIs" priority="8" operator="lessThan" aboveAverage="0" equalAverage="0" bottom="0" percent="0" rank="0" text="" dxfId="6">
      <formula>Setup!$B$5</formula>
    </cfRule>
  </conditionalFormatting>
  <dataValidations count="1">
    <dataValidation allowBlank="false" errorStyle="stop" operator="between" showDropDown="false" showErrorMessage="fals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3" t="s">
        <v>19</v>
      </c>
      <c r="B4" s="4" t="n">
        <v>2026</v>
      </c>
    </row>
    <row r="5" customFormat="false" ht="15" hidden="false" customHeight="false" outlineLevel="0" collapsed="false">
      <c r="A5" s="3" t="s">
        <v>20</v>
      </c>
      <c r="B5" s="4" t="n">
        <v>3</v>
      </c>
    </row>
    <row r="6" customFormat="false" ht="15" hidden="false" customHeight="false" outlineLevel="0" collapsed="false">
      <c r="A6" s="3" t="s">
        <v>21</v>
      </c>
      <c r="B6" s="2" t="s">
        <v>22</v>
      </c>
    </row>
    <row r="8" customFormat="false" ht="42" hidden="false" customHeight="true" outlineLevel="0" collapsed="false">
      <c r="A8" s="9" t="s">
        <v>23</v>
      </c>
      <c r="B8" s="9" t="s">
        <v>24</v>
      </c>
      <c r="C8" s="9" t="s">
        <v>25</v>
      </c>
      <c r="D8" s="9" t="s">
        <v>26</v>
      </c>
      <c r="F8" s="9" t="s">
        <v>27</v>
      </c>
      <c r="G8" s="9" t="s">
        <v>28</v>
      </c>
    </row>
    <row r="9" customFormat="false" ht="15" hidden="false" customHeight="false" outlineLevel="0" collapsed="false">
      <c r="A9" s="22" t="s">
        <v>29</v>
      </c>
      <c r="B9" s="22" t="s">
        <v>30</v>
      </c>
      <c r="C9" s="23" t="s">
        <v>31</v>
      </c>
      <c r="D9" s="24" t="s">
        <v>32</v>
      </c>
      <c r="F9" s="22" t="s">
        <v>33</v>
      </c>
      <c r="G9" s="25" t="n">
        <v>46023</v>
      </c>
    </row>
    <row r="10" customFormat="false" ht="15" hidden="false" customHeight="false" outlineLevel="0" collapsed="false">
      <c r="A10" s="22" t="s">
        <v>34</v>
      </c>
      <c r="B10" s="22" t="s">
        <v>35</v>
      </c>
      <c r="C10" s="23" t="s">
        <v>36</v>
      </c>
      <c r="D10" s="26" t="s">
        <v>37</v>
      </c>
      <c r="F10" s="22" t="s">
        <v>38</v>
      </c>
      <c r="G10" s="25" t="n">
        <v>46115</v>
      </c>
    </row>
    <row r="11" customFormat="false" ht="15" hidden="false" customHeight="false" outlineLevel="0" collapsed="false">
      <c r="A11" s="22" t="s">
        <v>39</v>
      </c>
      <c r="B11" s="22" t="s">
        <v>40</v>
      </c>
      <c r="C11" s="23" t="s">
        <v>36</v>
      </c>
      <c r="D11" s="27" t="s">
        <v>41</v>
      </c>
      <c r="F11" s="22" t="s">
        <v>42</v>
      </c>
      <c r="G11" s="25" t="n">
        <v>46143</v>
      </c>
    </row>
    <row r="12" customFormat="false" ht="15" hidden="false" customHeight="false" outlineLevel="0" collapsed="false">
      <c r="A12" s="22" t="s">
        <v>43</v>
      </c>
      <c r="B12" s="22" t="s">
        <v>44</v>
      </c>
      <c r="C12" s="23" t="s">
        <v>36</v>
      </c>
      <c r="D12" s="28" t="s">
        <v>45</v>
      </c>
      <c r="F12" s="22" t="s">
        <v>46</v>
      </c>
      <c r="G12" s="25" t="n">
        <v>46296</v>
      </c>
    </row>
    <row r="13" customFormat="false" ht="15" hidden="false" customHeight="false" outlineLevel="0" collapsed="false">
      <c r="A13" s="22" t="s">
        <v>47</v>
      </c>
      <c r="B13" s="22" t="s">
        <v>48</v>
      </c>
      <c r="C13" s="23" t="s">
        <v>36</v>
      </c>
      <c r="D13" s="29" t="s">
        <v>49</v>
      </c>
      <c r="F13" s="22" t="s">
        <v>50</v>
      </c>
      <c r="G13" s="25" t="n">
        <v>46381</v>
      </c>
    </row>
    <row r="14" customFormat="false" ht="15" hidden="false" customHeight="false" outlineLevel="0" collapsed="false">
      <c r="F14" s="22" t="s">
        <v>51</v>
      </c>
      <c r="G14" s="25" t="n">
        <v>46382</v>
      </c>
    </row>
    <row r="15" customFormat="false" ht="15" hidden="false" customHeight="false" outlineLevel="0" collapsed="false">
      <c r="F15" s="22"/>
      <c r="G15" s="25"/>
    </row>
    <row r="16" customFormat="false" ht="15" hidden="false" customHeight="false" outlineLevel="0" collapsed="false">
      <c r="F16" s="22"/>
      <c r="G16" s="25"/>
    </row>
    <row r="17" customFormat="false" ht="15" hidden="false" customHeight="false" outlineLevel="0" collapsed="false">
      <c r="F17" s="22"/>
      <c r="G17" s="25"/>
    </row>
    <row r="18" customFormat="false" ht="15" hidden="false" customHeight="false" outlineLevel="0" collapsed="false">
      <c r="F18" s="22"/>
      <c r="G18" s="25"/>
    </row>
    <row r="19" customFormat="false" ht="15" hidden="false" customHeight="false" outlineLevel="0" collapsed="false">
      <c r="F19" s="22"/>
      <c r="G19" s="25"/>
    </row>
    <row r="20" customFormat="false" ht="15" hidden="false" customHeight="false" outlineLevel="0" collapsed="false">
      <c r="F20" s="22"/>
      <c r="G20" s="25"/>
    </row>
    <row r="21" customFormat="false" ht="15" hidden="false" customHeight="false" outlineLevel="0" collapsed="false">
      <c r="F21" s="22"/>
      <c r="G21" s="25"/>
    </row>
    <row r="22" customFormat="false" ht="15" hidden="false" customHeight="false" outlineLevel="0" collapsed="false">
      <c r="F22" s="22"/>
      <c r="G22" s="25"/>
    </row>
    <row r="23" customFormat="false" ht="15" hidden="false" customHeight="false" outlineLevel="0" collapsed="false">
      <c r="F23" s="22"/>
      <c r="G23" s="25"/>
    </row>
    <row r="24" customFormat="false" ht="15" hidden="false" customHeight="false" outlineLevel="0" collapsed="false">
      <c r="F24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43.5" hidden="false" customHeight="true" outlineLevel="0" collapsed="false">
      <c r="A4" s="9" t="s">
        <v>55</v>
      </c>
      <c r="B4" s="9" t="s">
        <v>56</v>
      </c>
      <c r="C4" s="9" t="s">
        <v>57</v>
      </c>
      <c r="D4" s="9" t="s">
        <v>58</v>
      </c>
      <c r="E4" s="9" t="s">
        <v>59</v>
      </c>
      <c r="F4" s="9" t="s">
        <v>60</v>
      </c>
    </row>
    <row r="5" customFormat="false" ht="15" hidden="false" customHeight="false" outlineLevel="0" collapsed="false">
      <c r="A5" s="22" t="s">
        <v>61</v>
      </c>
      <c r="B5" s="22" t="s">
        <v>62</v>
      </c>
      <c r="C5" s="22" t="s">
        <v>63</v>
      </c>
      <c r="D5" s="22" t="n">
        <v>21</v>
      </c>
      <c r="E5" s="22" t="n">
        <v>3</v>
      </c>
      <c r="F5" s="30" t="n">
        <f aca="false">IF(B5="","",D5+E5)</f>
        <v>24</v>
      </c>
    </row>
    <row r="6" customFormat="false" ht="15" hidden="false" customHeight="false" outlineLevel="0" collapsed="false">
      <c r="A6" s="22" t="s">
        <v>64</v>
      </c>
      <c r="B6" s="22" t="s">
        <v>65</v>
      </c>
      <c r="C6" s="22" t="s">
        <v>63</v>
      </c>
      <c r="D6" s="22" t="n">
        <v>21</v>
      </c>
      <c r="E6" s="22" t="n">
        <v>0</v>
      </c>
      <c r="F6" s="30" t="n">
        <f aca="false">IF(B6="","",D6+E6)</f>
        <v>21</v>
      </c>
    </row>
    <row r="7" customFormat="false" ht="15" hidden="false" customHeight="false" outlineLevel="0" collapsed="false">
      <c r="A7" s="22" t="s">
        <v>66</v>
      </c>
      <c r="B7" s="22" t="s">
        <v>67</v>
      </c>
      <c r="C7" s="22" t="s">
        <v>68</v>
      </c>
      <c r="D7" s="22" t="n">
        <v>24</v>
      </c>
      <c r="E7" s="22" t="n">
        <v>2</v>
      </c>
      <c r="F7" s="30" t="n">
        <f aca="false">IF(B7="","",D7+E7)</f>
        <v>26</v>
      </c>
    </row>
    <row r="8" customFormat="false" ht="15" hidden="false" customHeight="false" outlineLevel="0" collapsed="false">
      <c r="A8" s="22" t="s">
        <v>69</v>
      </c>
      <c r="B8" s="22" t="s">
        <v>70</v>
      </c>
      <c r="C8" s="22" t="s">
        <v>68</v>
      </c>
      <c r="D8" s="22" t="n">
        <v>21</v>
      </c>
      <c r="E8" s="22" t="n">
        <v>5</v>
      </c>
      <c r="F8" s="30" t="n">
        <f aca="false">IF(B8="","",D8+E8)</f>
        <v>26</v>
      </c>
    </row>
    <row r="9" customFormat="false" ht="15" hidden="false" customHeight="false" outlineLevel="0" collapsed="false">
      <c r="A9" s="22" t="s">
        <v>71</v>
      </c>
      <c r="B9" s="22" t="s">
        <v>72</v>
      </c>
      <c r="C9" s="22" t="s">
        <v>73</v>
      </c>
      <c r="D9" s="22" t="n">
        <v>24</v>
      </c>
      <c r="E9" s="22" t="n">
        <v>0</v>
      </c>
      <c r="F9" s="30" t="n">
        <f aca="false">IF(B9="","",D9+E9)</f>
        <v>24</v>
      </c>
    </row>
    <row r="10" customFormat="false" ht="15" hidden="false" customHeight="false" outlineLevel="0" collapsed="false">
      <c r="A10" s="22" t="s">
        <v>74</v>
      </c>
      <c r="B10" s="22" t="s">
        <v>75</v>
      </c>
      <c r="C10" s="22" t="s">
        <v>76</v>
      </c>
      <c r="D10" s="22" t="n">
        <v>21</v>
      </c>
      <c r="E10" s="22" t="n">
        <v>1</v>
      </c>
      <c r="F10" s="30" t="n">
        <f aca="false">IF(B10="","",D10+E10)</f>
        <v>22</v>
      </c>
    </row>
    <row r="11" customFormat="false" ht="15" hidden="false" customHeight="false" outlineLevel="0" collapsed="false">
      <c r="A11" s="22" t="s">
        <v>77</v>
      </c>
      <c r="B11" s="22" t="s">
        <v>78</v>
      </c>
      <c r="C11" s="22" t="s">
        <v>76</v>
      </c>
      <c r="D11" s="22" t="n">
        <v>21</v>
      </c>
      <c r="E11" s="22" t="n">
        <v>0</v>
      </c>
      <c r="F11" s="30" t="n">
        <f aca="false">IF(B11="","",D11+E11)</f>
        <v>21</v>
      </c>
    </row>
    <row r="12" customFormat="false" ht="15" hidden="false" customHeight="false" outlineLevel="0" collapsed="false">
      <c r="A12" s="22" t="s">
        <v>79</v>
      </c>
      <c r="B12" s="22" t="s">
        <v>80</v>
      </c>
      <c r="C12" s="22" t="s">
        <v>81</v>
      </c>
      <c r="D12" s="22" t="n">
        <v>21</v>
      </c>
      <c r="E12" s="22" t="n">
        <v>4</v>
      </c>
      <c r="F12" s="30" t="n">
        <f aca="false">IF(B12="","",D12+E12)</f>
        <v>25</v>
      </c>
    </row>
    <row r="13" customFormat="false" ht="15" hidden="false" customHeight="false" outlineLevel="0" collapsed="false">
      <c r="A13" s="22"/>
      <c r="B13" s="22"/>
      <c r="C13" s="22"/>
      <c r="D13" s="22"/>
      <c r="E13" s="22"/>
      <c r="F13" s="30" t="str">
        <f aca="false">IF(B13="","",D13+E13)</f>
        <v/>
      </c>
    </row>
    <row r="14" customFormat="false" ht="15" hidden="false" customHeight="false" outlineLevel="0" collapsed="false">
      <c r="A14" s="22"/>
      <c r="B14" s="22"/>
      <c r="C14" s="22"/>
      <c r="D14" s="22"/>
      <c r="E14" s="22"/>
      <c r="F14" s="30" t="str">
        <f aca="false">IF(B14="","",D14+E14)</f>
        <v/>
      </c>
    </row>
    <row r="15" customFormat="false" ht="15" hidden="false" customHeight="false" outlineLevel="0" collapsed="false">
      <c r="A15" s="22"/>
      <c r="B15" s="22"/>
      <c r="C15" s="22"/>
      <c r="D15" s="22"/>
      <c r="E15" s="22"/>
      <c r="F15" s="30" t="str">
        <f aca="false">IF(B15="","",D15+E15)</f>
        <v/>
      </c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30" t="str">
        <f aca="false">IF(B16="","",D16+E16)</f>
        <v/>
      </c>
    </row>
    <row r="17" customFormat="false" ht="15" hidden="false" customHeight="false" outlineLevel="0" collapsed="false">
      <c r="A17" s="22"/>
      <c r="B17" s="22"/>
      <c r="C17" s="22"/>
      <c r="D17" s="22"/>
      <c r="E17" s="22"/>
      <c r="F17" s="30" t="str">
        <f aca="false">IF(B17="","",D17+E17)</f>
        <v/>
      </c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30" t="str">
        <f aca="false">IF(B18="","",D18+E18)</f>
        <v/>
      </c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30" t="str">
        <f aca="false">IF(B19="","",D19+E19)</f>
        <v/>
      </c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30" t="str">
        <f aca="false">IF(B20="","",D20+E20)</f>
        <v/>
      </c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30" t="str">
        <f aca="false">IF(B21="","",D21+E21)</f>
        <v/>
      </c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30" t="str">
        <f aca="false">IF(B22="","",D22+E22)</f>
        <v/>
      </c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30" t="str">
        <f aca="false">IF(B23="","",D23+E23)</f>
        <v/>
      </c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30" t="str">
        <f aca="false">IF(B24="","",D24+E24)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6" min="5" style="0" width="13"/>
    <col collapsed="false" customWidth="true" hidden="false" outlineLevel="0" max="7" min="7" style="0" width="34"/>
  </cols>
  <sheetData>
    <row r="1" customFormat="false" ht="19.7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30" hidden="false" customHeight="true" outlineLevel="0" collapsed="false">
      <c r="A4" s="9" t="s">
        <v>4</v>
      </c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</row>
    <row r="5" customFormat="false" ht="15" hidden="false" customHeight="false" outlineLevel="0" collapsed="false">
      <c r="A5" s="22" t="s">
        <v>62</v>
      </c>
      <c r="B5" s="22" t="s">
        <v>29</v>
      </c>
      <c r="C5" s="25" t="n">
        <v>46321</v>
      </c>
      <c r="D5" s="25" t="n">
        <v>46325</v>
      </c>
      <c r="E5" s="30" t="n">
        <f aca="false">IF(OR(C5="",D5=""),"",IF(D5&lt;C5,"Check dates",NETWORKDAYS(C5,D5,Setup!$G$9:$G$23)))</f>
        <v>5</v>
      </c>
      <c r="F5" s="22" t="s">
        <v>90</v>
      </c>
      <c r="G5" s="22" t="s">
        <v>91</v>
      </c>
    </row>
    <row r="6" customFormat="false" ht="15" hidden="false" customHeight="false" outlineLevel="0" collapsed="false">
      <c r="A6" s="22" t="s">
        <v>65</v>
      </c>
      <c r="B6" s="22" t="s">
        <v>34</v>
      </c>
      <c r="C6" s="25" t="n">
        <v>46317</v>
      </c>
      <c r="D6" s="25" t="n">
        <v>46318</v>
      </c>
      <c r="E6" s="30" t="n">
        <f aca="false">IF(OR(C6="",D6=""),"",IF(D6&lt;C6,"Check dates",NETWORKDAYS(C6,D6,Setup!$G$9:$G$23)))</f>
        <v>2</v>
      </c>
      <c r="F6" s="22" t="s">
        <v>90</v>
      </c>
      <c r="G6" s="22" t="s">
        <v>92</v>
      </c>
    </row>
    <row r="7" customFormat="false" ht="15" hidden="false" customHeight="false" outlineLevel="0" collapsed="false">
      <c r="A7" s="22" t="s">
        <v>67</v>
      </c>
      <c r="B7" s="22" t="s">
        <v>29</v>
      </c>
      <c r="C7" s="25" t="n">
        <v>46323</v>
      </c>
      <c r="D7" s="25" t="n">
        <v>46330</v>
      </c>
      <c r="E7" s="30" t="n">
        <f aca="false">IF(OR(C7="",D7=""),"",IF(D7&lt;C7,"Check dates",NETWORKDAYS(C7,D7,Setup!$G$9:$G$23)))</f>
        <v>6</v>
      </c>
      <c r="F7" s="22" t="s">
        <v>93</v>
      </c>
      <c r="G7" s="22" t="s">
        <v>94</v>
      </c>
    </row>
    <row r="8" customFormat="false" ht="15" hidden="false" customHeight="false" outlineLevel="0" collapsed="false">
      <c r="A8" s="22" t="s">
        <v>70</v>
      </c>
      <c r="B8" s="22" t="s">
        <v>39</v>
      </c>
      <c r="C8" s="25" t="n">
        <v>46324</v>
      </c>
      <c r="D8" s="25" t="n">
        <v>46324</v>
      </c>
      <c r="E8" s="30" t="n">
        <f aca="false">IF(OR(C8="",D8=""),"",IF(D8&lt;C8,"Check dates",NETWORKDAYS(C8,D8,Setup!$G$9:$G$23)))</f>
        <v>1</v>
      </c>
      <c r="F8" s="22" t="s">
        <v>90</v>
      </c>
      <c r="G8" s="22"/>
    </row>
    <row r="9" customFormat="false" ht="15" hidden="false" customHeight="false" outlineLevel="0" collapsed="false">
      <c r="A9" s="22" t="s">
        <v>75</v>
      </c>
      <c r="B9" s="22" t="s">
        <v>29</v>
      </c>
      <c r="C9" s="25" t="n">
        <v>46321</v>
      </c>
      <c r="D9" s="25" t="n">
        <v>46323</v>
      </c>
      <c r="E9" s="30" t="n">
        <f aca="false">IF(OR(C9="",D9=""),"",IF(D9&lt;C9,"Check dates",NETWORKDAYS(C9,D9,Setup!$G$9:$G$23)))</f>
        <v>3</v>
      </c>
      <c r="F9" s="22" t="s">
        <v>90</v>
      </c>
      <c r="G9" s="22"/>
    </row>
    <row r="10" customFormat="false" ht="15" hidden="false" customHeight="false" outlineLevel="0" collapsed="false">
      <c r="A10" s="22" t="s">
        <v>80</v>
      </c>
      <c r="B10" s="22" t="s">
        <v>43</v>
      </c>
      <c r="C10" s="25" t="n">
        <v>46335</v>
      </c>
      <c r="D10" s="25" t="n">
        <v>46339</v>
      </c>
      <c r="E10" s="30" t="n">
        <f aca="false">IF(OR(C10="",D10=""),"",IF(D10&lt;C10,"Check dates",NETWORKDAYS(C10,D10,Setup!$G$9:$G$23)))</f>
        <v>5</v>
      </c>
      <c r="F10" s="22" t="s">
        <v>95</v>
      </c>
      <c r="G10" s="22" t="s">
        <v>96</v>
      </c>
    </row>
    <row r="11" customFormat="false" ht="15" hidden="false" customHeight="false" outlineLevel="0" collapsed="false">
      <c r="A11" s="22" t="s">
        <v>72</v>
      </c>
      <c r="B11" s="22" t="s">
        <v>47</v>
      </c>
      <c r="C11" s="25" t="n">
        <v>46328</v>
      </c>
      <c r="D11" s="25" t="n">
        <v>46329</v>
      </c>
      <c r="E11" s="30" t="n">
        <f aca="false">IF(OR(C11="",D11=""),"",IF(D11&lt;C11,"Check dates",NETWORKDAYS(C11,D11,Setup!$G$9:$G$23)))</f>
        <v>2</v>
      </c>
      <c r="F11" s="22" t="s">
        <v>90</v>
      </c>
      <c r="G11" s="22" t="s">
        <v>97</v>
      </c>
    </row>
    <row r="12" customFormat="false" ht="15" hidden="false" customHeight="false" outlineLevel="0" collapsed="false">
      <c r="A12" s="22"/>
      <c r="B12" s="22"/>
      <c r="C12" s="25"/>
      <c r="D12" s="25"/>
      <c r="E12" s="30" t="str">
        <f aca="false">IF(OR(C12="",D12=""),"",IF(D12&lt;C12,"Check dates",NETWORKDAYS(C12,D12,Setup!$G$9:$G$23)))</f>
        <v/>
      </c>
      <c r="F12" s="22"/>
      <c r="G12" s="22"/>
    </row>
    <row r="13" customFormat="false" ht="15" hidden="false" customHeight="false" outlineLevel="0" collapsed="false">
      <c r="A13" s="22"/>
      <c r="B13" s="22"/>
      <c r="C13" s="25"/>
      <c r="D13" s="25"/>
      <c r="E13" s="30" t="str">
        <f aca="false">IF(OR(C13="",D13=""),"",IF(D13&lt;C13,"Check dates",NETWORKDAYS(C13,D13,Setup!$G$9:$G$23)))</f>
        <v/>
      </c>
      <c r="F13" s="22"/>
      <c r="G13" s="22"/>
    </row>
    <row r="14" customFormat="false" ht="15" hidden="false" customHeight="false" outlineLevel="0" collapsed="false">
      <c r="A14" s="22"/>
      <c r="B14" s="22"/>
      <c r="C14" s="25"/>
      <c r="D14" s="25"/>
      <c r="E14" s="30" t="str">
        <f aca="false">IF(OR(C14="",D14=""),"",IF(D14&lt;C14,"Check dates",NETWORKDAYS(C14,D14,Setup!$G$9:$G$23)))</f>
        <v/>
      </c>
      <c r="F14" s="22"/>
      <c r="G14" s="22"/>
    </row>
    <row r="15" customFormat="false" ht="15" hidden="false" customHeight="false" outlineLevel="0" collapsed="false">
      <c r="A15" s="22"/>
      <c r="B15" s="22"/>
      <c r="C15" s="25"/>
      <c r="D15" s="25"/>
      <c r="E15" s="30" t="str">
        <f aca="false">IF(OR(C15="",D15=""),"",IF(D15&lt;C15,"Check dates",NETWORKDAYS(C15,D15,Setup!$G$9:$G$23)))</f>
        <v/>
      </c>
      <c r="F15" s="22"/>
      <c r="G15" s="22"/>
    </row>
    <row r="16" customFormat="false" ht="15" hidden="false" customHeight="false" outlineLevel="0" collapsed="false">
      <c r="A16" s="22"/>
      <c r="B16" s="22"/>
      <c r="C16" s="25"/>
      <c r="D16" s="25"/>
      <c r="E16" s="30" t="str">
        <f aca="false">IF(OR(C16="",D16=""),"",IF(D16&lt;C16,"Check dates",NETWORKDAYS(C16,D16,Setup!$G$9:$G$23)))</f>
        <v/>
      </c>
      <c r="F16" s="22"/>
      <c r="G16" s="22"/>
    </row>
    <row r="17" customFormat="false" ht="15" hidden="false" customHeight="false" outlineLevel="0" collapsed="false">
      <c r="A17" s="23"/>
      <c r="B17" s="23"/>
      <c r="C17" s="31"/>
      <c r="D17" s="31"/>
      <c r="E17" s="30" t="str">
        <f aca="false">IF(OR(C17="",D17=""),"",IF(D17&lt;C17,"Check dates",NETWORKDAYS(C17,D17,Setup!$G$9:$G$23)))</f>
        <v/>
      </c>
      <c r="F17" s="23"/>
      <c r="G17" s="23"/>
    </row>
    <row r="18" customFormat="false" ht="15" hidden="false" customHeight="false" outlineLevel="0" collapsed="false">
      <c r="A18" s="23"/>
      <c r="B18" s="23"/>
      <c r="C18" s="31"/>
      <c r="D18" s="31"/>
      <c r="E18" s="30" t="str">
        <f aca="false">IF(OR(C18="",D18=""),"",IF(D18&lt;C18,"Check dates",NETWORKDAYS(C18,D18,Setup!$G$9:$G$23)))</f>
        <v/>
      </c>
      <c r="F18" s="23"/>
      <c r="G18" s="23"/>
    </row>
    <row r="19" customFormat="false" ht="15" hidden="false" customHeight="false" outlineLevel="0" collapsed="false">
      <c r="A19" s="23"/>
      <c r="B19" s="23"/>
      <c r="C19" s="31"/>
      <c r="D19" s="31"/>
      <c r="E19" s="30" t="str">
        <f aca="false">IF(OR(C19="",D19=""),"",IF(D19&lt;C19,"Check dates",NETWORKDAYS(C19,D19,Setup!$G$9:$G$23)))</f>
        <v/>
      </c>
      <c r="F19" s="23"/>
      <c r="G19" s="23"/>
    </row>
    <row r="20" customFormat="false" ht="15" hidden="false" customHeight="false" outlineLevel="0" collapsed="false">
      <c r="A20" s="23"/>
      <c r="B20" s="23"/>
      <c r="C20" s="31"/>
      <c r="D20" s="31"/>
      <c r="E20" s="30" t="str">
        <f aca="false">IF(OR(C20="",D20=""),"",IF(D20&lt;C20,"Check dates",NETWORKDAYS(C20,D20,Setup!$G$9:$G$23)))</f>
        <v/>
      </c>
      <c r="F20" s="23"/>
      <c r="G20" s="23"/>
    </row>
    <row r="21" customFormat="false" ht="15" hidden="false" customHeight="false" outlineLevel="0" collapsed="false">
      <c r="A21" s="23"/>
      <c r="B21" s="23"/>
      <c r="C21" s="31"/>
      <c r="D21" s="31"/>
      <c r="E21" s="30" t="str">
        <f aca="false">IF(OR(C21="",D21=""),"",IF(D21&lt;C21,"Check dates",NETWORKDAYS(C21,D21,Setup!$G$9:$G$23)))</f>
        <v/>
      </c>
      <c r="F21" s="23"/>
      <c r="G21" s="23"/>
    </row>
    <row r="22" customFormat="false" ht="15" hidden="false" customHeight="false" outlineLevel="0" collapsed="false">
      <c r="A22" s="23"/>
      <c r="B22" s="23"/>
      <c r="C22" s="31"/>
      <c r="D22" s="31"/>
      <c r="E22" s="30" t="str">
        <f aca="false">IF(OR(C22="",D22=""),"",IF(D22&lt;C22,"Check dates",NETWORKDAYS(C22,D22,Setup!$G$9:$G$23)))</f>
        <v/>
      </c>
      <c r="F22" s="23"/>
      <c r="G22" s="23"/>
    </row>
    <row r="23" customFormat="false" ht="15" hidden="false" customHeight="false" outlineLevel="0" collapsed="false">
      <c r="A23" s="23"/>
      <c r="B23" s="23"/>
      <c r="C23" s="31"/>
      <c r="D23" s="31"/>
      <c r="E23" s="30" t="str">
        <f aca="false">IF(OR(C23="",D23=""),"",IF(D23&lt;C23,"Check dates",NETWORKDAYS(C23,D23,Setup!$G$9:$G$23)))</f>
        <v/>
      </c>
      <c r="F23" s="23"/>
      <c r="G23" s="23"/>
    </row>
    <row r="24" customFormat="false" ht="15" hidden="false" customHeight="false" outlineLevel="0" collapsed="false">
      <c r="A24" s="23"/>
      <c r="B24" s="23"/>
      <c r="C24" s="31"/>
      <c r="D24" s="31"/>
      <c r="E24" s="30" t="str">
        <f aca="false">IF(OR(C24="",D24=""),"",IF(D24&lt;C24,"Check dates",NETWORKDAYS(C24,D24,Setup!$G$9:$G$23)))</f>
        <v/>
      </c>
      <c r="F24" s="23"/>
      <c r="G24" s="23"/>
    </row>
    <row r="25" customFormat="false" ht="15" hidden="false" customHeight="false" outlineLevel="0" collapsed="false">
      <c r="A25" s="23"/>
      <c r="B25" s="23"/>
      <c r="C25" s="31"/>
      <c r="D25" s="31"/>
      <c r="E25" s="30" t="str">
        <f aca="false">IF(OR(C25="",D25=""),"",IF(D25&lt;C25,"Check dates",NETWORKDAYS(C25,D25,Setup!$G$9:$G$23)))</f>
        <v/>
      </c>
      <c r="F25" s="23"/>
      <c r="G25" s="23"/>
    </row>
    <row r="26" customFormat="false" ht="15" hidden="false" customHeight="false" outlineLevel="0" collapsed="false">
      <c r="A26" s="23"/>
      <c r="B26" s="23"/>
      <c r="C26" s="31"/>
      <c r="D26" s="31"/>
      <c r="E26" s="30" t="str">
        <f aca="false">IF(OR(C26="",D26=""),"",IF(D26&lt;C26,"Check dates",NETWORKDAYS(C26,D26,Setup!$G$9:$G$23)))</f>
        <v/>
      </c>
      <c r="F26" s="23"/>
      <c r="G26" s="23"/>
    </row>
    <row r="27" customFormat="false" ht="15" hidden="false" customHeight="false" outlineLevel="0" collapsed="false">
      <c r="A27" s="23"/>
      <c r="B27" s="23"/>
      <c r="C27" s="31"/>
      <c r="D27" s="31"/>
      <c r="E27" s="30" t="str">
        <f aca="false">IF(OR(C27="",D27=""),"",IF(D27&lt;C27,"Check dates",NETWORKDAYS(C27,D27,Setup!$G$9:$G$23)))</f>
        <v/>
      </c>
      <c r="F27" s="23"/>
      <c r="G27" s="23"/>
    </row>
    <row r="28" customFormat="false" ht="15" hidden="false" customHeight="false" outlineLevel="0" collapsed="false">
      <c r="A28" s="23"/>
      <c r="B28" s="23"/>
      <c r="C28" s="31"/>
      <c r="D28" s="31"/>
      <c r="E28" s="30" t="str">
        <f aca="false">IF(OR(C28="",D28=""),"",IF(D28&lt;C28,"Check dates",NETWORKDAYS(C28,D28,Setup!$G$9:$G$23)))</f>
        <v/>
      </c>
      <c r="F28" s="23"/>
      <c r="G28" s="23"/>
    </row>
    <row r="29" customFormat="false" ht="15" hidden="false" customHeight="false" outlineLevel="0" collapsed="false">
      <c r="A29" s="23"/>
      <c r="B29" s="23"/>
      <c r="C29" s="31"/>
      <c r="D29" s="31"/>
      <c r="E29" s="30" t="str">
        <f aca="false">IF(OR(C29="",D29=""),"",IF(D29&lt;C29,"Check dates",NETWORKDAYS(C29,D29,Setup!$G$9:$G$23)))</f>
        <v/>
      </c>
      <c r="F29" s="23"/>
      <c r="G29" s="23"/>
    </row>
    <row r="30" customFormat="false" ht="15" hidden="false" customHeight="false" outlineLevel="0" collapsed="false">
      <c r="A30" s="23"/>
      <c r="B30" s="23"/>
      <c r="C30" s="31"/>
      <c r="D30" s="31"/>
      <c r="E30" s="30" t="str">
        <f aca="false">IF(OR(C30="",D30=""),"",IF(D30&lt;C30,"Check dates",NETWORKDAYS(C30,D30,Setup!$G$9:$G$23)))</f>
        <v/>
      </c>
      <c r="F30" s="23"/>
      <c r="G30" s="23"/>
    </row>
    <row r="31" customFormat="false" ht="15" hidden="false" customHeight="false" outlineLevel="0" collapsed="false">
      <c r="A31" s="23"/>
      <c r="B31" s="23"/>
      <c r="C31" s="31"/>
      <c r="D31" s="31"/>
      <c r="E31" s="30" t="str">
        <f aca="false">IF(OR(C31="",D31=""),"",IF(D31&lt;C31,"Check dates",NETWORKDAYS(C31,D31,Setup!$G$9:$G$23)))</f>
        <v/>
      </c>
      <c r="F31" s="23"/>
      <c r="G31" s="23"/>
    </row>
    <row r="32" customFormat="false" ht="15" hidden="false" customHeight="false" outlineLevel="0" collapsed="false">
      <c r="A32" s="23"/>
      <c r="B32" s="23"/>
      <c r="C32" s="31"/>
      <c r="D32" s="31"/>
      <c r="E32" s="30" t="str">
        <f aca="false">IF(OR(C32="",D32=""),"",IF(D32&lt;C32,"Check dates",NETWORKDAYS(C32,D32,Setup!$G$9:$G$23)))</f>
        <v/>
      </c>
      <c r="F32" s="23"/>
      <c r="G32" s="23"/>
    </row>
    <row r="33" customFormat="false" ht="15" hidden="false" customHeight="false" outlineLevel="0" collapsed="false">
      <c r="A33" s="23"/>
      <c r="B33" s="23"/>
      <c r="C33" s="31"/>
      <c r="D33" s="31"/>
      <c r="E33" s="30" t="str">
        <f aca="false">IF(OR(C33="",D33=""),"",IF(D33&lt;C33,"Check dates",NETWORKDAYS(C33,D33,Setup!$G$9:$G$23)))</f>
        <v/>
      </c>
      <c r="F33" s="23"/>
      <c r="G33" s="23"/>
    </row>
    <row r="34" customFormat="false" ht="15" hidden="false" customHeight="false" outlineLevel="0" collapsed="false">
      <c r="A34" s="23"/>
      <c r="B34" s="23"/>
      <c r="C34" s="31"/>
      <c r="D34" s="31"/>
      <c r="E34" s="30" t="str">
        <f aca="false">IF(OR(C34="",D34=""),"",IF(D34&lt;C34,"Check dates",NETWORKDAYS(C34,D34,Setup!$G$9:$G$23)))</f>
        <v/>
      </c>
      <c r="F34" s="23"/>
      <c r="G34" s="23"/>
    </row>
    <row r="35" customFormat="false" ht="15" hidden="false" customHeight="false" outlineLevel="0" collapsed="false">
      <c r="A35" s="23"/>
      <c r="B35" s="23"/>
      <c r="C35" s="31"/>
      <c r="D35" s="31"/>
      <c r="E35" s="30" t="str">
        <f aca="false">IF(OR(C35="",D35=""),"",IF(D35&lt;C35,"Check dates",NETWORKDAYS(C35,D35,Setup!$G$9:$G$23)))</f>
        <v/>
      </c>
      <c r="F35" s="23"/>
      <c r="G35" s="23"/>
    </row>
    <row r="36" customFormat="false" ht="15" hidden="false" customHeight="false" outlineLevel="0" collapsed="false">
      <c r="A36" s="23"/>
      <c r="B36" s="23"/>
      <c r="C36" s="31"/>
      <c r="D36" s="31"/>
      <c r="E36" s="30" t="str">
        <f aca="false">IF(OR(C36="",D36=""),"",IF(D36&lt;C36,"Check dates",NETWORKDAYS(C36,D36,Setup!$G$9:$G$23)))</f>
        <v/>
      </c>
      <c r="F36" s="23"/>
      <c r="G36" s="23"/>
    </row>
    <row r="37" customFormat="false" ht="15" hidden="false" customHeight="false" outlineLevel="0" collapsed="false">
      <c r="A37" s="23"/>
      <c r="B37" s="23"/>
      <c r="C37" s="31"/>
      <c r="D37" s="31"/>
      <c r="E37" s="30" t="str">
        <f aca="false">IF(OR(C37="",D37=""),"",IF(D37&lt;C37,"Check dates",NETWORKDAYS(C37,D37,Setup!$G$9:$G$23)))</f>
        <v/>
      </c>
      <c r="F37" s="23"/>
      <c r="G37" s="23"/>
    </row>
    <row r="38" customFormat="false" ht="15" hidden="false" customHeight="false" outlineLevel="0" collapsed="false">
      <c r="A38" s="23"/>
      <c r="B38" s="23"/>
      <c r="C38" s="31"/>
      <c r="D38" s="31"/>
      <c r="E38" s="30" t="str">
        <f aca="false">IF(OR(C38="",D38=""),"",IF(D38&lt;C38,"Check dates",NETWORKDAYS(C38,D38,Setup!$G$9:$G$23)))</f>
        <v/>
      </c>
      <c r="F38" s="23"/>
      <c r="G38" s="23"/>
    </row>
    <row r="39" customFormat="false" ht="15" hidden="false" customHeight="false" outlineLevel="0" collapsed="false">
      <c r="A39" s="23"/>
      <c r="B39" s="23"/>
      <c r="C39" s="31"/>
      <c r="D39" s="31"/>
      <c r="E39" s="30" t="str">
        <f aca="false">IF(OR(C39="",D39=""),"",IF(D39&lt;C39,"Check dates",NETWORKDAYS(C39,D39,Setup!$G$9:$G$23)))</f>
        <v/>
      </c>
      <c r="F39" s="23"/>
      <c r="G39" s="23"/>
    </row>
    <row r="40" customFormat="false" ht="15" hidden="false" customHeight="false" outlineLevel="0" collapsed="false">
      <c r="A40" s="23"/>
      <c r="B40" s="23"/>
      <c r="C40" s="31"/>
      <c r="D40" s="31"/>
      <c r="E40" s="30" t="str">
        <f aca="false">IF(OR(C40="",D40=""),"",IF(D40&lt;C40,"Check dates",NETWORKDAYS(C40,D40,Setup!$G$9:$G$23)))</f>
        <v/>
      </c>
      <c r="F40" s="23"/>
      <c r="G40" s="23"/>
    </row>
    <row r="41" customFormat="false" ht="15" hidden="false" customHeight="false" outlineLevel="0" collapsed="false">
      <c r="A41" s="23"/>
      <c r="B41" s="23"/>
      <c r="C41" s="31"/>
      <c r="D41" s="31"/>
      <c r="E41" s="30" t="str">
        <f aca="false">IF(OR(C41="",D41=""),"",IF(D41&lt;C41,"Check dates",NETWORKDAYS(C41,D41,Setup!$G$9:$G$23)))</f>
        <v/>
      </c>
      <c r="F41" s="23"/>
      <c r="G41" s="23"/>
    </row>
    <row r="42" customFormat="false" ht="15" hidden="false" customHeight="false" outlineLevel="0" collapsed="false">
      <c r="A42" s="23"/>
      <c r="B42" s="23"/>
      <c r="C42" s="31"/>
      <c r="D42" s="31"/>
      <c r="E42" s="30" t="str">
        <f aca="false">IF(OR(C42="",D42=""),"",IF(D42&lt;C42,"Check dates",NETWORKDAYS(C42,D42,Setup!$G$9:$G$23)))</f>
        <v/>
      </c>
      <c r="F42" s="23"/>
      <c r="G42" s="23"/>
    </row>
    <row r="43" customFormat="false" ht="15" hidden="false" customHeight="false" outlineLevel="0" collapsed="false">
      <c r="A43" s="23"/>
      <c r="B43" s="23"/>
      <c r="C43" s="31"/>
      <c r="D43" s="31"/>
      <c r="E43" s="30" t="str">
        <f aca="false">IF(OR(C43="",D43=""),"",IF(D43&lt;C43,"Check dates",NETWORKDAYS(C43,D43,Setup!$G$9:$G$23)))</f>
        <v/>
      </c>
      <c r="F43" s="23"/>
      <c r="G43" s="23"/>
    </row>
    <row r="44" customFormat="false" ht="15" hidden="false" customHeight="false" outlineLevel="0" collapsed="false">
      <c r="A44" s="23"/>
      <c r="B44" s="23"/>
      <c r="C44" s="31"/>
      <c r="D44" s="31"/>
      <c r="E44" s="30" t="str">
        <f aca="false">IF(OR(C44="",D44=""),"",IF(D44&lt;C44,"Check dates",NETWORKDAYS(C44,D44,Setup!$G$9:$G$23)))</f>
        <v/>
      </c>
      <c r="F44" s="23"/>
      <c r="G44" s="23"/>
    </row>
    <row r="45" customFormat="false" ht="15" hidden="false" customHeight="false" outlineLevel="0" collapsed="false">
      <c r="A45" s="23"/>
      <c r="B45" s="23"/>
      <c r="C45" s="31"/>
      <c r="D45" s="31"/>
      <c r="E45" s="30" t="str">
        <f aca="false">IF(OR(C45="",D45=""),"",IF(D45&lt;C45,"Check dates",NETWORKDAYS(C45,D45,Setup!$G$9:$G$23)))</f>
        <v/>
      </c>
      <c r="F45" s="23"/>
      <c r="G45" s="23"/>
    </row>
    <row r="46" customFormat="false" ht="15" hidden="false" customHeight="false" outlineLevel="0" collapsed="false">
      <c r="A46" s="23"/>
      <c r="B46" s="23"/>
      <c r="C46" s="31"/>
      <c r="D46" s="31"/>
      <c r="E46" s="30" t="str">
        <f aca="false">IF(OR(C46="",D46=""),"",IF(D46&lt;C46,"Check dates",NETWORKDAYS(C46,D46,Setup!$G$9:$G$23)))</f>
        <v/>
      </c>
      <c r="F46" s="23"/>
      <c r="G46" s="23"/>
    </row>
    <row r="47" customFormat="false" ht="15" hidden="false" customHeight="false" outlineLevel="0" collapsed="false">
      <c r="A47" s="23"/>
      <c r="B47" s="23"/>
      <c r="C47" s="31"/>
      <c r="D47" s="31"/>
      <c r="E47" s="30" t="str">
        <f aca="false">IF(OR(C47="",D47=""),"",IF(D47&lt;C47,"Check dates",NETWORKDAYS(C47,D47,Setup!$G$9:$G$23)))</f>
        <v/>
      </c>
      <c r="F47" s="23"/>
      <c r="G47" s="23"/>
    </row>
    <row r="48" customFormat="false" ht="15" hidden="false" customHeight="false" outlineLevel="0" collapsed="false">
      <c r="A48" s="23"/>
      <c r="B48" s="23"/>
      <c r="C48" s="31"/>
      <c r="D48" s="31"/>
      <c r="E48" s="30" t="str">
        <f aca="false">IF(OR(C48="",D48=""),"",IF(D48&lt;C48,"Check dates",NETWORKDAYS(C48,D48,Setup!$G$9:$G$23)))</f>
        <v/>
      </c>
      <c r="F48" s="23"/>
      <c r="G48" s="23"/>
    </row>
    <row r="49" customFormat="false" ht="15" hidden="false" customHeight="false" outlineLevel="0" collapsed="false">
      <c r="A49" s="23"/>
      <c r="B49" s="23"/>
      <c r="C49" s="31"/>
      <c r="D49" s="31"/>
      <c r="E49" s="30" t="str">
        <f aca="false">IF(OR(C49="",D49=""),"",IF(D49&lt;C49,"Check dates",NETWORKDAYS(C49,D49,Setup!$G$9:$G$23)))</f>
        <v/>
      </c>
      <c r="F49" s="23"/>
      <c r="G49" s="23"/>
    </row>
    <row r="50" customFormat="false" ht="15" hidden="false" customHeight="false" outlineLevel="0" collapsed="false">
      <c r="A50" s="23"/>
      <c r="B50" s="23"/>
      <c r="C50" s="31"/>
      <c r="D50" s="31"/>
      <c r="E50" s="30" t="str">
        <f aca="false">IF(OR(C50="",D50=""),"",IF(D50&lt;C50,"Check dates",NETWORKDAYS(C50,D50,Setup!$G$9:$G$23)))</f>
        <v/>
      </c>
      <c r="F50" s="23"/>
      <c r="G50" s="23"/>
    </row>
    <row r="51" customFormat="false" ht="15" hidden="false" customHeight="false" outlineLevel="0" collapsed="false">
      <c r="A51" s="23"/>
      <c r="B51" s="23"/>
      <c r="C51" s="31"/>
      <c r="D51" s="31"/>
      <c r="E51" s="30" t="str">
        <f aca="false">IF(OR(C51="",D51=""),"",IF(D51&lt;C51,"Check dates",NETWORKDAYS(C51,D51,Setup!$G$9:$G$23)))</f>
        <v/>
      </c>
      <c r="F51" s="23"/>
      <c r="G51" s="23"/>
    </row>
    <row r="52" customFormat="false" ht="15" hidden="false" customHeight="false" outlineLevel="0" collapsed="false">
      <c r="A52" s="23"/>
      <c r="B52" s="23"/>
      <c r="C52" s="31"/>
      <c r="D52" s="31"/>
      <c r="E52" s="30" t="str">
        <f aca="false">IF(OR(C52="",D52=""),"",IF(D52&lt;C52,"Check dates",NETWORKDAYS(C52,D52,Setup!$G$9:$G$23)))</f>
        <v/>
      </c>
      <c r="F52" s="23"/>
      <c r="G52" s="23"/>
    </row>
    <row r="53" customFormat="false" ht="15" hidden="false" customHeight="false" outlineLevel="0" collapsed="false">
      <c r="A53" s="23"/>
      <c r="B53" s="23"/>
      <c r="C53" s="31"/>
      <c r="D53" s="31"/>
      <c r="E53" s="30" t="str">
        <f aca="false">IF(OR(C53="",D53=""),"",IF(D53&lt;C53,"Check dates",NETWORKDAYS(C53,D53,Setup!$G$9:$G$23)))</f>
        <v/>
      </c>
      <c r="F53" s="23"/>
      <c r="G53" s="23"/>
    </row>
    <row r="54" customFormat="false" ht="15" hidden="false" customHeight="false" outlineLevel="0" collapsed="false">
      <c r="A54" s="23"/>
      <c r="B54" s="23"/>
      <c r="C54" s="31"/>
      <c r="D54" s="31"/>
      <c r="E54" s="30" t="str">
        <f aca="false">IF(OR(C54="",D54=""),"",IF(D54&lt;C54,"Check dates",NETWORKDAYS(C54,D54,Setup!$G$9:$G$23)))</f>
        <v/>
      </c>
      <c r="F54" s="23"/>
      <c r="G54" s="23"/>
    </row>
    <row r="55" customFormat="false" ht="15" hidden="false" customHeight="false" outlineLevel="0" collapsed="false">
      <c r="A55" s="23"/>
      <c r="B55" s="23"/>
      <c r="C55" s="31"/>
      <c r="D55" s="31"/>
      <c r="E55" s="30" t="str">
        <f aca="false">IF(OR(C55="",D55=""),"",IF(D55&lt;C55,"Check dates",NETWORKDAYS(C55,D55,Setup!$G$9:$G$23)))</f>
        <v/>
      </c>
      <c r="F55" s="23"/>
      <c r="G55" s="23"/>
    </row>
    <row r="56" customFormat="false" ht="15" hidden="false" customHeight="false" outlineLevel="0" collapsed="false">
      <c r="A56" s="23"/>
      <c r="B56" s="23"/>
      <c r="C56" s="31"/>
      <c r="D56" s="31"/>
      <c r="E56" s="30" t="str">
        <f aca="false">IF(OR(C56="",D56=""),"",IF(D56&lt;C56,"Check dates",NETWORKDAYS(C56,D56,Setup!$G$9:$G$23)))</f>
        <v/>
      </c>
      <c r="F56" s="23"/>
      <c r="G56" s="23"/>
    </row>
    <row r="57" customFormat="false" ht="15" hidden="false" customHeight="false" outlineLevel="0" collapsed="false">
      <c r="A57" s="23"/>
      <c r="B57" s="23"/>
      <c r="C57" s="31"/>
      <c r="D57" s="31"/>
      <c r="E57" s="30" t="str">
        <f aca="false">IF(OR(C57="",D57=""),"",IF(D57&lt;C57,"Check dates",NETWORKDAYS(C57,D57,Setup!$G$9:$G$23)))</f>
        <v/>
      </c>
      <c r="F57" s="23"/>
      <c r="G57" s="23"/>
    </row>
    <row r="58" customFormat="false" ht="15" hidden="false" customHeight="false" outlineLevel="0" collapsed="false">
      <c r="A58" s="23"/>
      <c r="B58" s="23"/>
      <c r="C58" s="31"/>
      <c r="D58" s="31"/>
      <c r="E58" s="30" t="str">
        <f aca="false">IF(OR(C58="",D58=""),"",IF(D58&lt;C58,"Check dates",NETWORKDAYS(C58,D58,Setup!$G$9:$G$23)))</f>
        <v/>
      </c>
      <c r="F58" s="23"/>
      <c r="G58" s="23"/>
    </row>
    <row r="59" customFormat="false" ht="15" hidden="false" customHeight="false" outlineLevel="0" collapsed="false">
      <c r="A59" s="23"/>
      <c r="B59" s="23"/>
      <c r="C59" s="31"/>
      <c r="D59" s="31"/>
      <c r="E59" s="30" t="str">
        <f aca="false">IF(OR(C59="",D59=""),"",IF(D59&lt;C59,"Check dates",NETWORKDAYS(C59,D59,Setup!$G$9:$G$23)))</f>
        <v/>
      </c>
      <c r="F59" s="23"/>
      <c r="G59" s="23"/>
    </row>
    <row r="60" customFormat="false" ht="15" hidden="false" customHeight="false" outlineLevel="0" collapsed="false">
      <c r="A60" s="23"/>
      <c r="B60" s="23"/>
      <c r="C60" s="31"/>
      <c r="D60" s="31"/>
      <c r="E60" s="30" t="str">
        <f aca="false">IF(OR(C60="",D60=""),"",IF(D60&lt;C60,"Check dates",NETWORKDAYS(C60,D60,Setup!$G$9:$G$23)))</f>
        <v/>
      </c>
      <c r="F60" s="23"/>
      <c r="G60" s="23"/>
    </row>
    <row r="61" customFormat="false" ht="15" hidden="false" customHeight="false" outlineLevel="0" collapsed="false">
      <c r="A61" s="23"/>
      <c r="B61" s="23"/>
      <c r="C61" s="31"/>
      <c r="D61" s="31"/>
      <c r="E61" s="30" t="str">
        <f aca="false">IF(OR(C61="",D61=""),"",IF(D61&lt;C61,"Check dates",NETWORKDAYS(C61,D61,Setup!$G$9:$G$23)))</f>
        <v/>
      </c>
      <c r="F61" s="23"/>
      <c r="G61" s="23"/>
    </row>
    <row r="62" customFormat="false" ht="15" hidden="false" customHeight="false" outlineLevel="0" collapsed="false">
      <c r="A62" s="23"/>
      <c r="B62" s="23"/>
      <c r="C62" s="31"/>
      <c r="D62" s="31"/>
      <c r="E62" s="30" t="str">
        <f aca="false">IF(OR(C62="",D62=""),"",IF(D62&lt;C62,"Check dates",NETWORKDAYS(C62,D62,Setup!$G$9:$G$23)))</f>
        <v/>
      </c>
      <c r="F62" s="23"/>
      <c r="G62" s="23"/>
    </row>
    <row r="63" customFormat="false" ht="15" hidden="false" customHeight="false" outlineLevel="0" collapsed="false">
      <c r="A63" s="23"/>
      <c r="B63" s="23"/>
      <c r="C63" s="31"/>
      <c r="D63" s="31"/>
      <c r="E63" s="30" t="str">
        <f aca="false">IF(OR(C63="",D63=""),"",IF(D63&lt;C63,"Check dates",NETWORKDAYS(C63,D63,Setup!$G$9:$G$23)))</f>
        <v/>
      </c>
      <c r="F63" s="23"/>
      <c r="G63" s="23"/>
    </row>
    <row r="64" customFormat="false" ht="15" hidden="false" customHeight="false" outlineLevel="0" collapsed="false">
      <c r="A64" s="23"/>
      <c r="B64" s="23"/>
      <c r="C64" s="31"/>
      <c r="D64" s="31"/>
      <c r="E64" s="30" t="str">
        <f aca="false">IF(OR(C64="",D64=""),"",IF(D64&lt;C64,"Check dates",NETWORKDAYS(C64,D64,Setup!$G$9:$G$23)))</f>
        <v/>
      </c>
      <c r="F64" s="23"/>
      <c r="G64" s="23"/>
    </row>
    <row r="65" customFormat="false" ht="15" hidden="false" customHeight="false" outlineLevel="0" collapsed="false">
      <c r="A65" s="23"/>
      <c r="B65" s="23"/>
      <c r="C65" s="31"/>
      <c r="D65" s="31"/>
      <c r="E65" s="30" t="str">
        <f aca="false">IF(OR(C65="",D65=""),"",IF(D65&lt;C65,"Check dates",NETWORKDAYS(C65,D65,Setup!$G$9:$G$23)))</f>
        <v/>
      </c>
      <c r="F65" s="23"/>
      <c r="G65" s="23"/>
    </row>
    <row r="66" customFormat="false" ht="15" hidden="false" customHeight="false" outlineLevel="0" collapsed="false">
      <c r="A66" s="23"/>
      <c r="B66" s="23"/>
      <c r="C66" s="31"/>
      <c r="D66" s="31"/>
      <c r="E66" s="30" t="str">
        <f aca="false">IF(OR(C66="",D66=""),"",IF(D66&lt;C66,"Check dates",NETWORKDAYS(C66,D66,Setup!$G$9:$G$23)))</f>
        <v/>
      </c>
      <c r="F66" s="23"/>
      <c r="G66" s="23"/>
    </row>
    <row r="67" customFormat="false" ht="15" hidden="false" customHeight="false" outlineLevel="0" collapsed="false">
      <c r="A67" s="23"/>
      <c r="B67" s="23"/>
      <c r="C67" s="31"/>
      <c r="D67" s="31"/>
      <c r="E67" s="30" t="str">
        <f aca="false">IF(OR(C67="",D67=""),"",IF(D67&lt;C67,"Check dates",NETWORKDAYS(C67,D67,Setup!$G$9:$G$23)))</f>
        <v/>
      </c>
      <c r="F67" s="23"/>
      <c r="G67" s="23"/>
    </row>
    <row r="68" customFormat="false" ht="15" hidden="false" customHeight="false" outlineLevel="0" collapsed="false">
      <c r="A68" s="23"/>
      <c r="B68" s="23"/>
      <c r="C68" s="31"/>
      <c r="D68" s="31"/>
      <c r="E68" s="30" t="str">
        <f aca="false">IF(OR(C68="",D68=""),"",IF(D68&lt;C68,"Check dates",NETWORKDAYS(C68,D68,Setup!$G$9:$G$23)))</f>
        <v/>
      </c>
      <c r="F68" s="23"/>
      <c r="G68" s="23"/>
    </row>
    <row r="69" customFormat="false" ht="15" hidden="false" customHeight="false" outlineLevel="0" collapsed="false">
      <c r="A69" s="23"/>
      <c r="B69" s="23"/>
      <c r="C69" s="31"/>
      <c r="D69" s="31"/>
      <c r="E69" s="30" t="str">
        <f aca="false">IF(OR(C69="",D69=""),"",IF(D69&lt;C69,"Check dates",NETWORKDAYS(C69,D69,Setup!$G$9:$G$23)))</f>
        <v/>
      </c>
      <c r="F69" s="23"/>
      <c r="G69" s="23"/>
    </row>
    <row r="70" customFormat="false" ht="15" hidden="false" customHeight="false" outlineLevel="0" collapsed="false">
      <c r="A70" s="23"/>
      <c r="B70" s="23"/>
      <c r="C70" s="31"/>
      <c r="D70" s="31"/>
      <c r="E70" s="30" t="str">
        <f aca="false">IF(OR(C70="",D70=""),"",IF(D70&lt;C70,"Check dates",NETWORKDAYS(C70,D70,Setup!$G$9:$G$23)))</f>
        <v/>
      </c>
      <c r="F70" s="23"/>
      <c r="G70" s="23"/>
    </row>
    <row r="71" customFormat="false" ht="15" hidden="false" customHeight="false" outlineLevel="0" collapsed="false">
      <c r="A71" s="23"/>
      <c r="B71" s="23"/>
      <c r="C71" s="31"/>
      <c r="D71" s="31"/>
      <c r="E71" s="30" t="str">
        <f aca="false">IF(OR(C71="",D71=""),"",IF(D71&lt;C71,"Check dates",NETWORKDAYS(C71,D71,Setup!$G$9:$G$23)))</f>
        <v/>
      </c>
      <c r="F71" s="23"/>
      <c r="G71" s="23"/>
    </row>
    <row r="72" customFormat="false" ht="15" hidden="false" customHeight="false" outlineLevel="0" collapsed="false">
      <c r="A72" s="23"/>
      <c r="B72" s="23"/>
      <c r="C72" s="31"/>
      <c r="D72" s="31"/>
      <c r="E72" s="30" t="str">
        <f aca="false">IF(OR(C72="",D72=""),"",IF(D72&lt;C72,"Check dates",NETWORKDAYS(C72,D72,Setup!$G$9:$G$23)))</f>
        <v/>
      </c>
      <c r="F72" s="23"/>
      <c r="G72" s="23"/>
    </row>
    <row r="73" customFormat="false" ht="15" hidden="false" customHeight="false" outlineLevel="0" collapsed="false">
      <c r="A73" s="23"/>
      <c r="B73" s="23"/>
      <c r="C73" s="31"/>
      <c r="D73" s="31"/>
      <c r="E73" s="30" t="str">
        <f aca="false">IF(OR(C73="",D73=""),"",IF(D73&lt;C73,"Check dates",NETWORKDAYS(C73,D73,Setup!$G$9:$G$23)))</f>
        <v/>
      </c>
      <c r="F73" s="23"/>
      <c r="G73" s="23"/>
    </row>
    <row r="74" customFormat="false" ht="15" hidden="false" customHeight="false" outlineLevel="0" collapsed="false">
      <c r="A74" s="23"/>
      <c r="B74" s="23"/>
      <c r="C74" s="31"/>
      <c r="D74" s="31"/>
      <c r="E74" s="30" t="str">
        <f aca="false">IF(OR(C74="",D74=""),"",IF(D74&lt;C74,"Check dates",NETWORKDAYS(C74,D74,Setup!$G$9:$G$23)))</f>
        <v/>
      </c>
      <c r="F74" s="23"/>
      <c r="G74" s="23"/>
    </row>
    <row r="75" customFormat="false" ht="15" hidden="false" customHeight="false" outlineLevel="0" collapsed="false">
      <c r="A75" s="23"/>
      <c r="B75" s="23"/>
      <c r="C75" s="31"/>
      <c r="D75" s="31"/>
      <c r="E75" s="30" t="str">
        <f aca="false">IF(OR(C75="",D75=""),"",IF(D75&lt;C75,"Check dates",NETWORKDAYS(C75,D75,Setup!$G$9:$G$23)))</f>
        <v/>
      </c>
      <c r="F75" s="23"/>
      <c r="G75" s="23"/>
    </row>
    <row r="76" customFormat="false" ht="15" hidden="false" customHeight="false" outlineLevel="0" collapsed="false">
      <c r="A76" s="23"/>
      <c r="B76" s="23"/>
      <c r="C76" s="31"/>
      <c r="D76" s="31"/>
      <c r="E76" s="30" t="str">
        <f aca="false">IF(OR(C76="",D76=""),"",IF(D76&lt;C76,"Check dates",NETWORKDAYS(C76,D76,Setup!$G$9:$G$23)))</f>
        <v/>
      </c>
      <c r="F76" s="23"/>
      <c r="G76" s="23"/>
    </row>
    <row r="77" customFormat="false" ht="15" hidden="false" customHeight="false" outlineLevel="0" collapsed="false">
      <c r="A77" s="23"/>
      <c r="B77" s="23"/>
      <c r="C77" s="31"/>
      <c r="D77" s="31"/>
      <c r="E77" s="30" t="str">
        <f aca="false">IF(OR(C77="",D77=""),"",IF(D77&lt;C77,"Check dates",NETWORKDAYS(C77,D77,Setup!$G$9:$G$23)))</f>
        <v/>
      </c>
      <c r="F77" s="23"/>
      <c r="G77" s="23"/>
    </row>
    <row r="78" customFormat="false" ht="15" hidden="false" customHeight="false" outlineLevel="0" collapsed="false">
      <c r="A78" s="23"/>
      <c r="B78" s="23"/>
      <c r="C78" s="31"/>
      <c r="D78" s="31"/>
      <c r="E78" s="30" t="str">
        <f aca="false">IF(OR(C78="",D78=""),"",IF(D78&lt;C78,"Check dates",NETWORKDAYS(C78,D78,Setup!$G$9:$G$23)))</f>
        <v/>
      </c>
      <c r="F78" s="23"/>
      <c r="G78" s="23"/>
    </row>
    <row r="79" customFormat="false" ht="15" hidden="false" customHeight="false" outlineLevel="0" collapsed="false">
      <c r="A79" s="23"/>
      <c r="B79" s="23"/>
      <c r="C79" s="31"/>
      <c r="D79" s="31"/>
      <c r="E79" s="30" t="str">
        <f aca="false">IF(OR(C79="",D79=""),"",IF(D79&lt;C79,"Check dates",NETWORKDAYS(C79,D79,Setup!$G$9:$G$23)))</f>
        <v/>
      </c>
      <c r="F79" s="23"/>
      <c r="G79" s="23"/>
    </row>
    <row r="80" customFormat="false" ht="15" hidden="false" customHeight="false" outlineLevel="0" collapsed="false">
      <c r="A80" s="23"/>
      <c r="B80" s="23"/>
      <c r="C80" s="31"/>
      <c r="D80" s="31"/>
      <c r="E80" s="30" t="str">
        <f aca="false">IF(OR(C80="",D80=""),"",IF(D80&lt;C80,"Check dates",NETWORKDAYS(C80,D80,Setup!$G$9:$G$23)))</f>
        <v/>
      </c>
      <c r="F80" s="23"/>
      <c r="G80" s="23"/>
    </row>
    <row r="81" customFormat="false" ht="15" hidden="false" customHeight="false" outlineLevel="0" collapsed="false">
      <c r="A81" s="23"/>
      <c r="B81" s="23"/>
      <c r="C81" s="31"/>
      <c r="D81" s="31"/>
      <c r="E81" s="30" t="str">
        <f aca="false">IF(OR(C81="",D81=""),"",IF(D81&lt;C81,"Check dates",NETWORKDAYS(C81,D81,Setup!$G$9:$G$23)))</f>
        <v/>
      </c>
      <c r="F81" s="23"/>
      <c r="G81" s="23"/>
    </row>
    <row r="82" customFormat="false" ht="15" hidden="false" customHeight="false" outlineLevel="0" collapsed="false">
      <c r="A82" s="23"/>
      <c r="B82" s="23"/>
      <c r="C82" s="31"/>
      <c r="D82" s="31"/>
      <c r="E82" s="30" t="str">
        <f aca="false">IF(OR(C82="",D82=""),"",IF(D82&lt;C82,"Check dates",NETWORKDAYS(C82,D82,Setup!$G$9:$G$23)))</f>
        <v/>
      </c>
      <c r="F82" s="23"/>
      <c r="G82" s="23"/>
    </row>
    <row r="83" customFormat="false" ht="15" hidden="false" customHeight="false" outlineLevel="0" collapsed="false">
      <c r="A83" s="23"/>
      <c r="B83" s="23"/>
      <c r="C83" s="31"/>
      <c r="D83" s="31"/>
      <c r="E83" s="30" t="str">
        <f aca="false">IF(OR(C83="",D83=""),"",IF(D83&lt;C83,"Check dates",NETWORKDAYS(C83,D83,Setup!$G$9:$G$23)))</f>
        <v/>
      </c>
      <c r="F83" s="23"/>
      <c r="G83" s="23"/>
    </row>
    <row r="84" customFormat="false" ht="15" hidden="false" customHeight="false" outlineLevel="0" collapsed="false">
      <c r="A84" s="23"/>
      <c r="B84" s="23"/>
      <c r="C84" s="31"/>
      <c r="D84" s="31"/>
      <c r="E84" s="30" t="str">
        <f aca="false">IF(OR(C84="",D84=""),"",IF(D84&lt;C84,"Check dates",NETWORKDAYS(C84,D84,Setup!$G$9:$G$23)))</f>
        <v/>
      </c>
      <c r="F84" s="23"/>
      <c r="G84" s="23"/>
    </row>
    <row r="85" customFormat="false" ht="15" hidden="false" customHeight="false" outlineLevel="0" collapsed="false">
      <c r="A85" s="23"/>
      <c r="B85" s="23"/>
      <c r="C85" s="31"/>
      <c r="D85" s="31"/>
      <c r="E85" s="30" t="str">
        <f aca="false">IF(OR(C85="",D85=""),"",IF(D85&lt;C85,"Check dates",NETWORKDAYS(C85,D85,Setup!$G$9:$G$23)))</f>
        <v/>
      </c>
      <c r="F85" s="23"/>
      <c r="G85" s="23"/>
    </row>
    <row r="86" customFormat="false" ht="15" hidden="false" customHeight="false" outlineLevel="0" collapsed="false">
      <c r="A86" s="23"/>
      <c r="B86" s="23"/>
      <c r="C86" s="31"/>
      <c r="D86" s="31"/>
      <c r="E86" s="30" t="str">
        <f aca="false">IF(OR(C86="",D86=""),"",IF(D86&lt;C86,"Check dates",NETWORKDAYS(C86,D86,Setup!$G$9:$G$23)))</f>
        <v/>
      </c>
      <c r="F86" s="23"/>
      <c r="G86" s="23"/>
    </row>
    <row r="87" customFormat="false" ht="15" hidden="false" customHeight="false" outlineLevel="0" collapsed="false">
      <c r="A87" s="23"/>
      <c r="B87" s="23"/>
      <c r="C87" s="31"/>
      <c r="D87" s="31"/>
      <c r="E87" s="30" t="str">
        <f aca="false">IF(OR(C87="",D87=""),"",IF(D87&lt;C87,"Check dates",NETWORKDAYS(C87,D87,Setup!$G$9:$G$23)))</f>
        <v/>
      </c>
      <c r="F87" s="23"/>
      <c r="G87" s="23"/>
    </row>
    <row r="88" customFormat="false" ht="15" hidden="false" customHeight="false" outlineLevel="0" collapsed="false">
      <c r="A88" s="23"/>
      <c r="B88" s="23"/>
      <c r="C88" s="31"/>
      <c r="D88" s="31"/>
      <c r="E88" s="30" t="str">
        <f aca="false">IF(OR(C88="",D88=""),"",IF(D88&lt;C88,"Check dates",NETWORKDAYS(C88,D88,Setup!$G$9:$G$23)))</f>
        <v/>
      </c>
      <c r="F88" s="23"/>
      <c r="G88" s="23"/>
    </row>
    <row r="89" customFormat="false" ht="15" hidden="false" customHeight="false" outlineLevel="0" collapsed="false">
      <c r="A89" s="23"/>
      <c r="B89" s="23"/>
      <c r="C89" s="31"/>
      <c r="D89" s="31"/>
      <c r="E89" s="30" t="str">
        <f aca="false">IF(OR(C89="",D89=""),"",IF(D89&lt;C89,"Check dates",NETWORKDAYS(C89,D89,Setup!$G$9:$G$23)))</f>
        <v/>
      </c>
      <c r="F89" s="23"/>
      <c r="G89" s="23"/>
    </row>
    <row r="90" customFormat="false" ht="15" hidden="false" customHeight="false" outlineLevel="0" collapsed="false">
      <c r="A90" s="23"/>
      <c r="B90" s="23"/>
      <c r="C90" s="31"/>
      <c r="D90" s="31"/>
      <c r="E90" s="30" t="str">
        <f aca="false">IF(OR(C90="",D90=""),"",IF(D90&lt;C90,"Check dates",NETWORKDAYS(C90,D90,Setup!$G$9:$G$23)))</f>
        <v/>
      </c>
      <c r="F90" s="23"/>
      <c r="G90" s="23"/>
    </row>
    <row r="91" customFormat="false" ht="15" hidden="false" customHeight="false" outlineLevel="0" collapsed="false">
      <c r="A91" s="23"/>
      <c r="B91" s="23"/>
      <c r="C91" s="31"/>
      <c r="D91" s="31"/>
      <c r="E91" s="30" t="str">
        <f aca="false">IF(OR(C91="",D91=""),"",IF(D91&lt;C91,"Check dates",NETWORKDAYS(C91,D91,Setup!$G$9:$G$23)))</f>
        <v/>
      </c>
      <c r="F91" s="23"/>
      <c r="G91" s="23"/>
    </row>
    <row r="92" customFormat="false" ht="15" hidden="false" customHeight="false" outlineLevel="0" collapsed="false">
      <c r="A92" s="23"/>
      <c r="B92" s="23"/>
      <c r="C92" s="31"/>
      <c r="D92" s="31"/>
      <c r="E92" s="30" t="str">
        <f aca="false">IF(OR(C92="",D92=""),"",IF(D92&lt;C92,"Check dates",NETWORKDAYS(C92,D92,Setup!$G$9:$G$23)))</f>
        <v/>
      </c>
      <c r="F92" s="23"/>
      <c r="G92" s="23"/>
    </row>
    <row r="93" customFormat="false" ht="15" hidden="false" customHeight="false" outlineLevel="0" collapsed="false">
      <c r="A93" s="23"/>
      <c r="B93" s="23"/>
      <c r="C93" s="31"/>
      <c r="D93" s="31"/>
      <c r="E93" s="30" t="str">
        <f aca="false">IF(OR(C93="",D93=""),"",IF(D93&lt;C93,"Check dates",NETWORKDAYS(C93,D93,Setup!$G$9:$G$23)))</f>
        <v/>
      </c>
      <c r="F93" s="23"/>
      <c r="G93" s="23"/>
    </row>
    <row r="94" customFormat="false" ht="15" hidden="false" customHeight="false" outlineLevel="0" collapsed="false">
      <c r="A94" s="23"/>
      <c r="B94" s="23"/>
      <c r="C94" s="31"/>
      <c r="D94" s="31"/>
      <c r="E94" s="30" t="str">
        <f aca="false">IF(OR(C94="",D94=""),"",IF(D94&lt;C94,"Check dates",NETWORKDAYS(C94,D94,Setup!$G$9:$G$23)))</f>
        <v/>
      </c>
      <c r="F94" s="23"/>
      <c r="G94" s="23"/>
    </row>
    <row r="95" customFormat="false" ht="15" hidden="false" customHeight="false" outlineLevel="0" collapsed="false">
      <c r="A95" s="23"/>
      <c r="B95" s="23"/>
      <c r="C95" s="31"/>
      <c r="D95" s="31"/>
      <c r="E95" s="30" t="str">
        <f aca="false">IF(OR(C95="",D95=""),"",IF(D95&lt;C95,"Check dates",NETWORKDAYS(C95,D95,Setup!$G$9:$G$23)))</f>
        <v/>
      </c>
      <c r="F95" s="23"/>
      <c r="G95" s="23"/>
    </row>
    <row r="96" customFormat="false" ht="15" hidden="false" customHeight="false" outlineLevel="0" collapsed="false">
      <c r="A96" s="23"/>
      <c r="B96" s="23"/>
      <c r="C96" s="31"/>
      <c r="D96" s="31"/>
      <c r="E96" s="30" t="str">
        <f aca="false">IF(OR(C96="",D96=""),"",IF(D96&lt;C96,"Check dates",NETWORKDAYS(C96,D96,Setup!$G$9:$G$23)))</f>
        <v/>
      </c>
      <c r="F96" s="23"/>
      <c r="G96" s="23"/>
    </row>
    <row r="97" customFormat="false" ht="15" hidden="false" customHeight="false" outlineLevel="0" collapsed="false">
      <c r="A97" s="23"/>
      <c r="B97" s="23"/>
      <c r="C97" s="31"/>
      <c r="D97" s="31"/>
      <c r="E97" s="30" t="str">
        <f aca="false">IF(OR(C97="",D97=""),"",IF(D97&lt;C97,"Check dates",NETWORKDAYS(C97,D97,Setup!$G$9:$G$23)))</f>
        <v/>
      </c>
      <c r="F97" s="23"/>
      <c r="G97" s="23"/>
    </row>
    <row r="98" customFormat="false" ht="15" hidden="false" customHeight="false" outlineLevel="0" collapsed="false">
      <c r="A98" s="23"/>
      <c r="B98" s="23"/>
      <c r="C98" s="31"/>
      <c r="D98" s="31"/>
      <c r="E98" s="30" t="str">
        <f aca="false">IF(OR(C98="",D98=""),"",IF(D98&lt;C98,"Check dates",NETWORKDAYS(C98,D98,Setup!$G$9:$G$23)))</f>
        <v/>
      </c>
      <c r="F98" s="23"/>
      <c r="G98" s="23"/>
    </row>
    <row r="99" customFormat="false" ht="15" hidden="false" customHeight="false" outlineLevel="0" collapsed="false">
      <c r="A99" s="23"/>
      <c r="B99" s="23"/>
      <c r="C99" s="31"/>
      <c r="D99" s="31"/>
      <c r="E99" s="30" t="str">
        <f aca="false">IF(OR(C99="",D99=""),"",IF(D99&lt;C99,"Check dates",NETWORKDAYS(C99,D99,Setup!$G$9:$G$23)))</f>
        <v/>
      </c>
      <c r="F99" s="23"/>
      <c r="G99" s="23"/>
    </row>
    <row r="100" customFormat="false" ht="15" hidden="false" customHeight="false" outlineLevel="0" collapsed="false">
      <c r="A100" s="23"/>
      <c r="B100" s="23"/>
      <c r="C100" s="31"/>
      <c r="D100" s="31"/>
      <c r="E100" s="30" t="str">
        <f aca="false">IF(OR(C100="",D100=""),"",IF(D100&lt;C100,"Check dates",NETWORKDAYS(C100,D100,Setup!$G$9:$G$23)))</f>
        <v/>
      </c>
      <c r="F100" s="23"/>
      <c r="G100" s="23"/>
    </row>
    <row r="101" customFormat="false" ht="15" hidden="false" customHeight="false" outlineLevel="0" collapsed="false">
      <c r="A101" s="23"/>
      <c r="B101" s="23"/>
      <c r="C101" s="31"/>
      <c r="D101" s="31"/>
      <c r="E101" s="30" t="str">
        <f aca="false">IF(OR(C101="",D101=""),"",IF(D101&lt;C101,"Check dates",NETWORKDAYS(C101,D101,Setup!$G$9:$G$23)))</f>
        <v/>
      </c>
      <c r="F101" s="23"/>
      <c r="G101" s="23"/>
    </row>
    <row r="102" customFormat="false" ht="15" hidden="false" customHeight="false" outlineLevel="0" collapsed="false">
      <c r="A102" s="23"/>
      <c r="B102" s="23"/>
      <c r="C102" s="31"/>
      <c r="D102" s="31"/>
      <c r="E102" s="30" t="str">
        <f aca="false">IF(OR(C102="",D102=""),"",IF(D102&lt;C102,"Check dates",NETWORKDAYS(C102,D102,Setup!$G$9:$G$23)))</f>
        <v/>
      </c>
      <c r="F102" s="23"/>
      <c r="G102" s="23"/>
    </row>
    <row r="103" customFormat="false" ht="15" hidden="false" customHeight="false" outlineLevel="0" collapsed="false">
      <c r="A103" s="23"/>
      <c r="B103" s="23"/>
      <c r="C103" s="31"/>
      <c r="D103" s="31"/>
      <c r="E103" s="30" t="str">
        <f aca="false">IF(OR(C103="",D103=""),"",IF(D103&lt;C103,"Check dates",NETWORKDAYS(C103,D103,Setup!$G$9:$G$23)))</f>
        <v/>
      </c>
      <c r="F103" s="23"/>
      <c r="G103" s="23"/>
    </row>
    <row r="104" customFormat="false" ht="15" hidden="false" customHeight="false" outlineLevel="0" collapsed="false">
      <c r="A104" s="23"/>
      <c r="B104" s="23"/>
      <c r="C104" s="31"/>
      <c r="D104" s="31"/>
      <c r="E104" s="30" t="str">
        <f aca="false">IF(OR(C104="",D104=""),"",IF(D104&lt;C104,"Check dates",NETWORKDAYS(C104,D104,Setup!$G$9:$G$23)))</f>
        <v/>
      </c>
      <c r="F104" s="23"/>
      <c r="G104" s="23"/>
    </row>
    <row r="105" customFormat="false" ht="15" hidden="false" customHeight="false" outlineLevel="0" collapsed="false">
      <c r="A105" s="23"/>
      <c r="B105" s="23"/>
      <c r="C105" s="31"/>
      <c r="D105" s="31"/>
      <c r="E105" s="30" t="str">
        <f aca="false">IF(OR(C105="",D105=""),"",IF(D105&lt;C105,"Check dates",NETWORKDAYS(C105,D105,Setup!$G$9:$G$23)))</f>
        <v/>
      </c>
      <c r="F105" s="23"/>
      <c r="G105" s="23"/>
    </row>
    <row r="106" customFormat="false" ht="15" hidden="false" customHeight="false" outlineLevel="0" collapsed="false">
      <c r="A106" s="23"/>
      <c r="B106" s="23"/>
      <c r="C106" s="31"/>
      <c r="D106" s="31"/>
      <c r="E106" s="30" t="str">
        <f aca="false">IF(OR(C106="",D106=""),"",IF(D106&lt;C106,"Check dates",NETWORKDAYS(C106,D106,Setup!$G$9:$G$23)))</f>
        <v/>
      </c>
      <c r="F106" s="23"/>
      <c r="G106" s="23"/>
    </row>
    <row r="107" customFormat="false" ht="15" hidden="false" customHeight="false" outlineLevel="0" collapsed="false">
      <c r="A107" s="23"/>
      <c r="B107" s="23"/>
      <c r="C107" s="31"/>
      <c r="D107" s="31"/>
      <c r="E107" s="30" t="str">
        <f aca="false">IF(OR(C107="",D107=""),"",IF(D107&lt;C107,"Check dates",NETWORKDAYS(C107,D107,Setup!$G$9:$G$23)))</f>
        <v/>
      </c>
      <c r="F107" s="23"/>
      <c r="G107" s="23"/>
    </row>
    <row r="108" customFormat="false" ht="15" hidden="false" customHeight="false" outlineLevel="0" collapsed="false">
      <c r="A108" s="23"/>
      <c r="B108" s="23"/>
      <c r="C108" s="31"/>
      <c r="D108" s="31"/>
      <c r="E108" s="30" t="str">
        <f aca="false">IF(OR(C108="",D108=""),"",IF(D108&lt;C108,"Check dates",NETWORKDAYS(C108,D108,Setup!$G$9:$G$23)))</f>
        <v/>
      </c>
      <c r="F108" s="23"/>
      <c r="G108" s="23"/>
    </row>
    <row r="109" customFormat="false" ht="15" hidden="false" customHeight="false" outlineLevel="0" collapsed="false">
      <c r="A109" s="23"/>
      <c r="B109" s="23"/>
      <c r="C109" s="31"/>
      <c r="D109" s="31"/>
      <c r="E109" s="30" t="str">
        <f aca="false">IF(OR(C109="",D109=""),"",IF(D109&lt;C109,"Check dates",NETWORKDAYS(C109,D109,Setup!$G$9:$G$23)))</f>
        <v/>
      </c>
      <c r="F109" s="23"/>
      <c r="G109" s="23"/>
    </row>
    <row r="110" customFormat="false" ht="15" hidden="false" customHeight="false" outlineLevel="0" collapsed="false">
      <c r="A110" s="23"/>
      <c r="B110" s="23"/>
      <c r="C110" s="31"/>
      <c r="D110" s="31"/>
      <c r="E110" s="30" t="str">
        <f aca="false">IF(OR(C110="",D110=""),"",IF(D110&lt;C110,"Check dates",NETWORKDAYS(C110,D110,Setup!$G$9:$G$23)))</f>
        <v/>
      </c>
      <c r="F110" s="23"/>
      <c r="G110" s="23"/>
    </row>
    <row r="111" customFormat="false" ht="15" hidden="false" customHeight="false" outlineLevel="0" collapsed="false">
      <c r="A111" s="23"/>
      <c r="B111" s="23"/>
      <c r="C111" s="31"/>
      <c r="D111" s="31"/>
      <c r="E111" s="30" t="str">
        <f aca="false">IF(OR(C111="",D111=""),"",IF(D111&lt;C111,"Check dates",NETWORKDAYS(C111,D111,Setup!$G$9:$G$23)))</f>
        <v/>
      </c>
      <c r="F111" s="23"/>
      <c r="G111" s="23"/>
    </row>
    <row r="112" customFormat="false" ht="15" hidden="false" customHeight="false" outlineLevel="0" collapsed="false">
      <c r="A112" s="23"/>
      <c r="B112" s="23"/>
      <c r="C112" s="31"/>
      <c r="D112" s="31"/>
      <c r="E112" s="30" t="str">
        <f aca="false">IF(OR(C112="",D112=""),"",IF(D112&lt;C112,"Check dates",NETWORKDAYS(C112,D112,Setup!$G$9:$G$23)))</f>
        <v/>
      </c>
      <c r="F112" s="23"/>
      <c r="G112" s="23"/>
    </row>
    <row r="113" customFormat="false" ht="15" hidden="false" customHeight="false" outlineLevel="0" collapsed="false">
      <c r="A113" s="23"/>
      <c r="B113" s="23"/>
      <c r="C113" s="31"/>
      <c r="D113" s="31"/>
      <c r="E113" s="30" t="str">
        <f aca="false">IF(OR(C113="",D113=""),"",IF(D113&lt;C113,"Check dates",NETWORKDAYS(C113,D113,Setup!$G$9:$G$23)))</f>
        <v/>
      </c>
      <c r="F113" s="23"/>
      <c r="G113" s="23"/>
    </row>
    <row r="114" customFormat="false" ht="15" hidden="false" customHeight="false" outlineLevel="0" collapsed="false">
      <c r="A114" s="23"/>
      <c r="B114" s="23"/>
      <c r="C114" s="31"/>
      <c r="D114" s="31"/>
      <c r="E114" s="30" t="str">
        <f aca="false">IF(OR(C114="",D114=""),"",IF(D114&lt;C114,"Check dates",NETWORKDAYS(C114,D114,Setup!$G$9:$G$23)))</f>
        <v/>
      </c>
      <c r="F114" s="23"/>
      <c r="G114" s="23"/>
    </row>
    <row r="115" customFormat="false" ht="15" hidden="false" customHeight="false" outlineLevel="0" collapsed="false">
      <c r="A115" s="23"/>
      <c r="B115" s="23"/>
      <c r="C115" s="31"/>
      <c r="D115" s="31"/>
      <c r="E115" s="30" t="str">
        <f aca="false">IF(OR(C115="",D115=""),"",IF(D115&lt;C115,"Check dates",NETWORKDAYS(C115,D115,Setup!$G$9:$G$23)))</f>
        <v/>
      </c>
      <c r="F115" s="23"/>
      <c r="G115" s="23"/>
    </row>
    <row r="116" customFormat="false" ht="15" hidden="false" customHeight="false" outlineLevel="0" collapsed="false">
      <c r="A116" s="23"/>
      <c r="B116" s="23"/>
      <c r="C116" s="31"/>
      <c r="D116" s="31"/>
      <c r="E116" s="30" t="str">
        <f aca="false">IF(OR(C116="",D116=""),"",IF(D116&lt;C116,"Check dates",NETWORKDAYS(C116,D116,Setup!$G$9:$G$23)))</f>
        <v/>
      </c>
      <c r="F116" s="23"/>
      <c r="G116" s="23"/>
    </row>
    <row r="117" customFormat="false" ht="15" hidden="false" customHeight="false" outlineLevel="0" collapsed="false">
      <c r="A117" s="23"/>
      <c r="B117" s="23"/>
      <c r="C117" s="31"/>
      <c r="D117" s="31"/>
      <c r="E117" s="30" t="str">
        <f aca="false">IF(OR(C117="",D117=""),"",IF(D117&lt;C117,"Check dates",NETWORKDAYS(C117,D117,Setup!$G$9:$G$23)))</f>
        <v/>
      </c>
      <c r="F117" s="23"/>
      <c r="G117" s="23"/>
    </row>
    <row r="118" customFormat="false" ht="15" hidden="false" customHeight="false" outlineLevel="0" collapsed="false">
      <c r="A118" s="23"/>
      <c r="B118" s="23"/>
      <c r="C118" s="31"/>
      <c r="D118" s="31"/>
      <c r="E118" s="30" t="str">
        <f aca="false">IF(OR(C118="",D118=""),"",IF(D118&lt;C118,"Check dates",NETWORKDAYS(C118,D118,Setup!$G$9:$G$23)))</f>
        <v/>
      </c>
      <c r="F118" s="23"/>
      <c r="G118" s="23"/>
    </row>
    <row r="119" customFormat="false" ht="15" hidden="false" customHeight="false" outlineLevel="0" collapsed="false">
      <c r="A119" s="23"/>
      <c r="B119" s="23"/>
      <c r="C119" s="31"/>
      <c r="D119" s="31"/>
      <c r="E119" s="30" t="str">
        <f aca="false">IF(OR(C119="",D119=""),"",IF(D119&lt;C119,"Check dates",NETWORKDAYS(C119,D119,Setup!$G$9:$G$23)))</f>
        <v/>
      </c>
      <c r="F119" s="23"/>
      <c r="G119" s="23"/>
    </row>
    <row r="120" customFormat="false" ht="15" hidden="false" customHeight="false" outlineLevel="0" collapsed="false">
      <c r="A120" s="23"/>
      <c r="B120" s="23"/>
      <c r="C120" s="31"/>
      <c r="D120" s="31"/>
      <c r="E120" s="30" t="str">
        <f aca="false">IF(OR(C120="",D120=""),"",IF(D120&lt;C120,"Check dates",NETWORKDAYS(C120,D120,Setup!$G$9:$G$23)))</f>
        <v/>
      </c>
      <c r="F120" s="23"/>
      <c r="G120" s="23"/>
    </row>
    <row r="121" customFormat="false" ht="15" hidden="false" customHeight="false" outlineLevel="0" collapsed="false">
      <c r="A121" s="23"/>
      <c r="B121" s="23"/>
      <c r="C121" s="31"/>
      <c r="D121" s="31"/>
      <c r="E121" s="30" t="str">
        <f aca="false">IF(OR(C121="",D121=""),"",IF(D121&lt;C121,"Check dates",NETWORKDAYS(C121,D121,Setup!$G$9:$G$23)))</f>
        <v/>
      </c>
      <c r="F121" s="23"/>
      <c r="G121" s="23"/>
    </row>
    <row r="122" customFormat="false" ht="15" hidden="false" customHeight="false" outlineLevel="0" collapsed="false">
      <c r="A122" s="23"/>
      <c r="B122" s="23"/>
      <c r="C122" s="31"/>
      <c r="D122" s="31"/>
      <c r="E122" s="30" t="str">
        <f aca="false">IF(OR(C122="",D122=""),"",IF(D122&lt;C122,"Check dates",NETWORKDAYS(C122,D122,Setup!$G$9:$G$23)))</f>
        <v/>
      </c>
      <c r="F122" s="23"/>
      <c r="G122" s="23"/>
    </row>
    <row r="123" customFormat="false" ht="15" hidden="false" customHeight="false" outlineLevel="0" collapsed="false">
      <c r="A123" s="23"/>
      <c r="B123" s="23"/>
      <c r="C123" s="31"/>
      <c r="D123" s="31"/>
      <c r="E123" s="30" t="str">
        <f aca="false">IF(OR(C123="",D123=""),"",IF(D123&lt;C123,"Check dates",NETWORKDAYS(C123,D123,Setup!$G$9:$G$23)))</f>
        <v/>
      </c>
      <c r="F123" s="23"/>
      <c r="G123" s="23"/>
    </row>
    <row r="124" customFormat="false" ht="15" hidden="false" customHeight="false" outlineLevel="0" collapsed="false">
      <c r="A124" s="23"/>
      <c r="B124" s="23"/>
      <c r="C124" s="31"/>
      <c r="D124" s="31"/>
      <c r="E124" s="30" t="str">
        <f aca="false">IF(OR(C124="",D124=""),"",IF(D124&lt;C124,"Check dates",NETWORKDAYS(C124,D124,Setup!$G$9:$G$23)))</f>
        <v/>
      </c>
      <c r="F124" s="23"/>
      <c r="G124" s="23"/>
    </row>
    <row r="125" customFormat="false" ht="15" hidden="false" customHeight="false" outlineLevel="0" collapsed="false">
      <c r="A125" s="23"/>
      <c r="B125" s="23"/>
      <c r="C125" s="31"/>
      <c r="D125" s="31"/>
      <c r="E125" s="30" t="str">
        <f aca="false">IF(OR(C125="",D125=""),"",IF(D125&lt;C125,"Check dates",NETWORKDAYS(C125,D125,Setup!$G$9:$G$23)))</f>
        <v/>
      </c>
      <c r="F125" s="23"/>
      <c r="G125" s="23"/>
    </row>
    <row r="126" customFormat="false" ht="15" hidden="false" customHeight="false" outlineLevel="0" collapsed="false">
      <c r="A126" s="23"/>
      <c r="B126" s="23"/>
      <c r="C126" s="31"/>
      <c r="D126" s="31"/>
      <c r="E126" s="30" t="str">
        <f aca="false">IF(OR(C126="",D126=""),"",IF(D126&lt;C126,"Check dates",NETWORKDAYS(C126,D126,Setup!$G$9:$G$23)))</f>
        <v/>
      </c>
      <c r="F126" s="23"/>
      <c r="G126" s="23"/>
    </row>
    <row r="127" customFormat="false" ht="15" hidden="false" customHeight="false" outlineLevel="0" collapsed="false">
      <c r="A127" s="23"/>
      <c r="B127" s="23"/>
      <c r="C127" s="31"/>
      <c r="D127" s="31"/>
      <c r="E127" s="30" t="str">
        <f aca="false">IF(OR(C127="",D127=""),"",IF(D127&lt;C127,"Check dates",NETWORKDAYS(C127,D127,Setup!$G$9:$G$23)))</f>
        <v/>
      </c>
      <c r="F127" s="23"/>
      <c r="G127" s="23"/>
    </row>
    <row r="128" customFormat="false" ht="15" hidden="false" customHeight="false" outlineLevel="0" collapsed="false">
      <c r="A128" s="23"/>
      <c r="B128" s="23"/>
      <c r="C128" s="31"/>
      <c r="D128" s="31"/>
      <c r="E128" s="30" t="str">
        <f aca="false">IF(OR(C128="",D128=""),"",IF(D128&lt;C128,"Check dates",NETWORKDAYS(C128,D128,Setup!$G$9:$G$23)))</f>
        <v/>
      </c>
      <c r="F128" s="23"/>
      <c r="G128" s="23"/>
    </row>
    <row r="129" customFormat="false" ht="15" hidden="false" customHeight="false" outlineLevel="0" collapsed="false">
      <c r="A129" s="23"/>
      <c r="B129" s="23"/>
      <c r="C129" s="31"/>
      <c r="D129" s="31"/>
      <c r="E129" s="30" t="str">
        <f aca="false">IF(OR(C129="",D129=""),"",IF(D129&lt;C129,"Check dates",NETWORKDAYS(C129,D129,Setup!$G$9:$G$23)))</f>
        <v/>
      </c>
      <c r="F129" s="23"/>
      <c r="G129" s="23"/>
    </row>
    <row r="130" customFormat="false" ht="15" hidden="false" customHeight="false" outlineLevel="0" collapsed="false">
      <c r="A130" s="23"/>
      <c r="B130" s="23"/>
      <c r="C130" s="31"/>
      <c r="D130" s="31"/>
      <c r="E130" s="30" t="str">
        <f aca="false">IF(OR(C130="",D130=""),"",IF(D130&lt;C130,"Check dates",NETWORKDAYS(C130,D130,Setup!$G$9:$G$23)))</f>
        <v/>
      </c>
      <c r="F130" s="23"/>
      <c r="G130" s="23"/>
    </row>
    <row r="131" customFormat="false" ht="15" hidden="false" customHeight="false" outlineLevel="0" collapsed="false">
      <c r="A131" s="23"/>
      <c r="B131" s="23"/>
      <c r="C131" s="31"/>
      <c r="D131" s="31"/>
      <c r="E131" s="30" t="str">
        <f aca="false">IF(OR(C131="",D131=""),"",IF(D131&lt;C131,"Check dates",NETWORKDAYS(C131,D131,Setup!$G$9:$G$23)))</f>
        <v/>
      </c>
      <c r="F131" s="23"/>
      <c r="G131" s="23"/>
    </row>
    <row r="132" customFormat="false" ht="15" hidden="false" customHeight="false" outlineLevel="0" collapsed="false">
      <c r="A132" s="23"/>
      <c r="B132" s="23"/>
      <c r="C132" s="31"/>
      <c r="D132" s="31"/>
      <c r="E132" s="30" t="str">
        <f aca="false">IF(OR(C132="",D132=""),"",IF(D132&lt;C132,"Check dates",NETWORKDAYS(C132,D132,Setup!$G$9:$G$23)))</f>
        <v/>
      </c>
      <c r="F132" s="23"/>
      <c r="G132" s="23"/>
    </row>
    <row r="133" customFormat="false" ht="15" hidden="false" customHeight="false" outlineLevel="0" collapsed="false">
      <c r="A133" s="23"/>
      <c r="B133" s="23"/>
      <c r="C133" s="31"/>
      <c r="D133" s="31"/>
      <c r="E133" s="30" t="str">
        <f aca="false">IF(OR(C133="",D133=""),"",IF(D133&lt;C133,"Check dates",NETWORKDAYS(C133,D133,Setup!$G$9:$G$23)))</f>
        <v/>
      </c>
      <c r="F133" s="23"/>
      <c r="G133" s="23"/>
    </row>
    <row r="134" customFormat="false" ht="15" hidden="false" customHeight="false" outlineLevel="0" collapsed="false">
      <c r="A134" s="23"/>
      <c r="B134" s="23"/>
      <c r="C134" s="31"/>
      <c r="D134" s="31"/>
      <c r="E134" s="30" t="str">
        <f aca="false">IF(OR(C134="",D134=""),"",IF(D134&lt;C134,"Check dates",NETWORKDAYS(C134,D134,Setup!$G$9:$G$23)))</f>
        <v/>
      </c>
      <c r="F134" s="23"/>
      <c r="G134" s="23"/>
    </row>
    <row r="135" customFormat="false" ht="15" hidden="false" customHeight="false" outlineLevel="0" collapsed="false">
      <c r="A135" s="23"/>
      <c r="B135" s="23"/>
      <c r="C135" s="31"/>
      <c r="D135" s="31"/>
      <c r="E135" s="30" t="str">
        <f aca="false">IF(OR(C135="",D135=""),"",IF(D135&lt;C135,"Check dates",NETWORKDAYS(C135,D135,Setup!$G$9:$G$23)))</f>
        <v/>
      </c>
      <c r="F135" s="23"/>
      <c r="G135" s="23"/>
    </row>
    <row r="136" customFormat="false" ht="15" hidden="false" customHeight="false" outlineLevel="0" collapsed="false">
      <c r="A136" s="23"/>
      <c r="B136" s="23"/>
      <c r="C136" s="31"/>
      <c r="D136" s="31"/>
      <c r="E136" s="30" t="str">
        <f aca="false">IF(OR(C136="",D136=""),"",IF(D136&lt;C136,"Check dates",NETWORKDAYS(C136,D136,Setup!$G$9:$G$23)))</f>
        <v/>
      </c>
      <c r="F136" s="23"/>
      <c r="G136" s="23"/>
    </row>
    <row r="137" customFormat="false" ht="15" hidden="false" customHeight="false" outlineLevel="0" collapsed="false">
      <c r="A137" s="23"/>
      <c r="B137" s="23"/>
      <c r="C137" s="31"/>
      <c r="D137" s="31"/>
      <c r="E137" s="30" t="str">
        <f aca="false">IF(OR(C137="",D137=""),"",IF(D137&lt;C137,"Check dates",NETWORKDAYS(C137,D137,Setup!$G$9:$G$23)))</f>
        <v/>
      </c>
      <c r="F137" s="23"/>
      <c r="G137" s="23"/>
    </row>
    <row r="138" customFormat="false" ht="15" hidden="false" customHeight="false" outlineLevel="0" collapsed="false">
      <c r="A138" s="23"/>
      <c r="B138" s="23"/>
      <c r="C138" s="31"/>
      <c r="D138" s="31"/>
      <c r="E138" s="30" t="str">
        <f aca="false">IF(OR(C138="",D138=""),"",IF(D138&lt;C138,"Check dates",NETWORKDAYS(C138,D138,Setup!$G$9:$G$23)))</f>
        <v/>
      </c>
      <c r="F138" s="23"/>
      <c r="G138" s="23"/>
    </row>
    <row r="139" customFormat="false" ht="15" hidden="false" customHeight="false" outlineLevel="0" collapsed="false">
      <c r="A139" s="23"/>
      <c r="B139" s="23"/>
      <c r="C139" s="31"/>
      <c r="D139" s="31"/>
      <c r="E139" s="30" t="str">
        <f aca="false">IF(OR(C139="",D139=""),"",IF(D139&lt;C139,"Check dates",NETWORKDAYS(C139,D139,Setup!$G$9:$G$23)))</f>
        <v/>
      </c>
      <c r="F139" s="23"/>
      <c r="G139" s="23"/>
    </row>
    <row r="140" customFormat="false" ht="15" hidden="false" customHeight="false" outlineLevel="0" collapsed="false">
      <c r="A140" s="23"/>
      <c r="B140" s="23"/>
      <c r="C140" s="31"/>
      <c r="D140" s="31"/>
      <c r="E140" s="30" t="str">
        <f aca="false">IF(OR(C140="",D140=""),"",IF(D140&lt;C140,"Check dates",NETWORKDAYS(C140,D140,Setup!$G$9:$G$23)))</f>
        <v/>
      </c>
      <c r="F140" s="23"/>
      <c r="G140" s="23"/>
    </row>
    <row r="141" customFormat="false" ht="15" hidden="false" customHeight="false" outlineLevel="0" collapsed="false">
      <c r="A141" s="23"/>
      <c r="B141" s="23"/>
      <c r="C141" s="31"/>
      <c r="D141" s="31"/>
      <c r="E141" s="30" t="str">
        <f aca="false">IF(OR(C141="",D141=""),"",IF(D141&lt;C141,"Check dates",NETWORKDAYS(C141,D141,Setup!$G$9:$G$23)))</f>
        <v/>
      </c>
      <c r="F141" s="23"/>
      <c r="G141" s="23"/>
    </row>
    <row r="142" customFormat="false" ht="15" hidden="false" customHeight="false" outlineLevel="0" collapsed="false">
      <c r="A142" s="23"/>
      <c r="B142" s="23"/>
      <c r="C142" s="31"/>
      <c r="D142" s="31"/>
      <c r="E142" s="30" t="str">
        <f aca="false">IF(OR(C142="",D142=""),"",IF(D142&lt;C142,"Check dates",NETWORKDAYS(C142,D142,Setup!$G$9:$G$23)))</f>
        <v/>
      </c>
      <c r="F142" s="23"/>
      <c r="G142" s="23"/>
    </row>
    <row r="143" customFormat="false" ht="15" hidden="false" customHeight="false" outlineLevel="0" collapsed="false">
      <c r="A143" s="23"/>
      <c r="B143" s="23"/>
      <c r="C143" s="31"/>
      <c r="D143" s="31"/>
      <c r="E143" s="30" t="str">
        <f aca="false">IF(OR(C143="",D143=""),"",IF(D143&lt;C143,"Check dates",NETWORKDAYS(C143,D143,Setup!$G$9:$G$23)))</f>
        <v/>
      </c>
      <c r="F143" s="23"/>
      <c r="G143" s="23"/>
    </row>
    <row r="144" customFormat="false" ht="15" hidden="false" customHeight="false" outlineLevel="0" collapsed="false">
      <c r="A144" s="23"/>
      <c r="B144" s="23"/>
      <c r="C144" s="31"/>
      <c r="D144" s="31"/>
      <c r="E144" s="30" t="str">
        <f aca="false">IF(OR(C144="",D144=""),"",IF(D144&lt;C144,"Check dates",NETWORKDAYS(C144,D144,Setup!$G$9:$G$23)))</f>
        <v/>
      </c>
      <c r="F144" s="23"/>
      <c r="G144" s="23"/>
    </row>
    <row r="145" customFormat="false" ht="15" hidden="false" customHeight="false" outlineLevel="0" collapsed="false">
      <c r="A145" s="23"/>
      <c r="B145" s="23"/>
      <c r="C145" s="31"/>
      <c r="D145" s="31"/>
      <c r="E145" s="30" t="str">
        <f aca="false">IF(OR(C145="",D145=""),"",IF(D145&lt;C145,"Check dates",NETWORKDAYS(C145,D145,Setup!$G$9:$G$23)))</f>
        <v/>
      </c>
      <c r="F145" s="23"/>
      <c r="G145" s="23"/>
    </row>
    <row r="146" customFormat="false" ht="15" hidden="false" customHeight="false" outlineLevel="0" collapsed="false">
      <c r="A146" s="23"/>
      <c r="B146" s="23"/>
      <c r="C146" s="31"/>
      <c r="D146" s="31"/>
      <c r="E146" s="30" t="str">
        <f aca="false">IF(OR(C146="",D146=""),"",IF(D146&lt;C146,"Check dates",NETWORKDAYS(C146,D146,Setup!$G$9:$G$23)))</f>
        <v/>
      </c>
      <c r="F146" s="23"/>
      <c r="G146" s="23"/>
    </row>
    <row r="147" customFormat="false" ht="15" hidden="false" customHeight="false" outlineLevel="0" collapsed="false">
      <c r="A147" s="23"/>
      <c r="B147" s="23"/>
      <c r="C147" s="31"/>
      <c r="D147" s="31"/>
      <c r="E147" s="30" t="str">
        <f aca="false">IF(OR(C147="",D147=""),"",IF(D147&lt;C147,"Check dates",NETWORKDAYS(C147,D147,Setup!$G$9:$G$23)))</f>
        <v/>
      </c>
      <c r="F147" s="23"/>
      <c r="G147" s="23"/>
    </row>
    <row r="148" customFormat="false" ht="15" hidden="false" customHeight="false" outlineLevel="0" collapsed="false">
      <c r="A148" s="23"/>
      <c r="B148" s="23"/>
      <c r="C148" s="31"/>
      <c r="D148" s="31"/>
      <c r="E148" s="30" t="str">
        <f aca="false">IF(OR(C148="",D148=""),"",IF(D148&lt;C148,"Check dates",NETWORKDAYS(C148,D148,Setup!$G$9:$G$23)))</f>
        <v/>
      </c>
      <c r="F148" s="23"/>
      <c r="G148" s="23"/>
    </row>
    <row r="149" customFormat="false" ht="15" hidden="false" customHeight="false" outlineLevel="0" collapsed="false">
      <c r="A149" s="23"/>
      <c r="B149" s="23"/>
      <c r="C149" s="31"/>
      <c r="D149" s="31"/>
      <c r="E149" s="30" t="str">
        <f aca="false">IF(OR(C149="",D149=""),"",IF(D149&lt;C149,"Check dates",NETWORKDAYS(C149,D149,Setup!$G$9:$G$23)))</f>
        <v/>
      </c>
      <c r="F149" s="23"/>
      <c r="G149" s="23"/>
    </row>
    <row r="150" customFormat="false" ht="15" hidden="false" customHeight="false" outlineLevel="0" collapsed="false">
      <c r="A150" s="23"/>
      <c r="B150" s="23"/>
      <c r="C150" s="31"/>
      <c r="D150" s="31"/>
      <c r="E150" s="30" t="str">
        <f aca="false">IF(OR(C150="",D150=""),"",IF(D150&lt;C150,"Check dates",NETWORKDAYS(C150,D150,Setup!$G$9:$G$23)))</f>
        <v/>
      </c>
      <c r="F150" s="23"/>
      <c r="G150" s="23"/>
    </row>
    <row r="151" customFormat="false" ht="15" hidden="false" customHeight="false" outlineLevel="0" collapsed="false">
      <c r="A151" s="23"/>
      <c r="B151" s="23"/>
      <c r="C151" s="31"/>
      <c r="D151" s="31"/>
      <c r="E151" s="30" t="str">
        <f aca="false">IF(OR(C151="",D151=""),"",IF(D151&lt;C151,"Check dates",NETWORKDAYS(C151,D151,Setup!$G$9:$G$23)))</f>
        <v/>
      </c>
      <c r="F151" s="23"/>
      <c r="G151" s="23"/>
    </row>
    <row r="152" customFormat="false" ht="15" hidden="false" customHeight="false" outlineLevel="0" collapsed="false">
      <c r="A152" s="23"/>
      <c r="B152" s="23"/>
      <c r="C152" s="31"/>
      <c r="D152" s="31"/>
      <c r="E152" s="30" t="str">
        <f aca="false">IF(OR(C152="",D152=""),"",IF(D152&lt;C152,"Check dates",NETWORKDAYS(C152,D152,Setup!$G$9:$G$23)))</f>
        <v/>
      </c>
      <c r="F152" s="23"/>
      <c r="G152" s="23"/>
    </row>
    <row r="153" customFormat="false" ht="15" hidden="false" customHeight="false" outlineLevel="0" collapsed="false">
      <c r="A153" s="23"/>
      <c r="B153" s="23"/>
      <c r="C153" s="31"/>
      <c r="D153" s="31"/>
      <c r="E153" s="30" t="str">
        <f aca="false">IF(OR(C153="",D153=""),"",IF(D153&lt;C153,"Check dates",NETWORKDAYS(C153,D153,Setup!$G$9:$G$23)))</f>
        <v/>
      </c>
      <c r="F153" s="23"/>
      <c r="G153" s="23"/>
    </row>
    <row r="154" customFormat="false" ht="15" hidden="false" customHeight="false" outlineLevel="0" collapsed="false">
      <c r="A154" s="23"/>
      <c r="B154" s="23"/>
      <c r="C154" s="31"/>
      <c r="D154" s="31"/>
      <c r="E154" s="30" t="str">
        <f aca="false">IF(OR(C154="",D154=""),"",IF(D154&lt;C154,"Check dates",NETWORKDAYS(C154,D154,Setup!$G$9:$G$23)))</f>
        <v/>
      </c>
      <c r="F154" s="23"/>
      <c r="G154" s="23"/>
    </row>
    <row r="155" customFormat="false" ht="15" hidden="false" customHeight="false" outlineLevel="0" collapsed="false">
      <c r="A155" s="23"/>
      <c r="B155" s="23"/>
      <c r="C155" s="31"/>
      <c r="D155" s="31"/>
      <c r="E155" s="30" t="str">
        <f aca="false">IF(OR(C155="",D155=""),"",IF(D155&lt;C155,"Check dates",NETWORKDAYS(C155,D155,Setup!$G$9:$G$23)))</f>
        <v/>
      </c>
      <c r="F155" s="23"/>
      <c r="G155" s="23"/>
    </row>
    <row r="156" customFormat="false" ht="15" hidden="false" customHeight="false" outlineLevel="0" collapsed="false">
      <c r="A156" s="23"/>
      <c r="B156" s="23"/>
      <c r="C156" s="31"/>
      <c r="D156" s="31"/>
      <c r="E156" s="30" t="str">
        <f aca="false">IF(OR(C156="",D156=""),"",IF(D156&lt;C156,"Check dates",NETWORKDAYS(C156,D156,Setup!$G$9:$G$23)))</f>
        <v/>
      </c>
      <c r="F156" s="23"/>
      <c r="G156" s="23"/>
    </row>
    <row r="157" customFormat="false" ht="15" hidden="false" customHeight="false" outlineLevel="0" collapsed="false">
      <c r="A157" s="23"/>
      <c r="B157" s="23"/>
      <c r="C157" s="31"/>
      <c r="D157" s="31"/>
      <c r="E157" s="30" t="str">
        <f aca="false">IF(OR(C157="",D157=""),"",IF(D157&lt;C157,"Check dates",NETWORKDAYS(C157,D157,Setup!$G$9:$G$23)))</f>
        <v/>
      </c>
      <c r="F157" s="23"/>
      <c r="G157" s="23"/>
    </row>
    <row r="158" customFormat="false" ht="15" hidden="false" customHeight="false" outlineLevel="0" collapsed="false">
      <c r="A158" s="23"/>
      <c r="B158" s="23"/>
      <c r="C158" s="31"/>
      <c r="D158" s="31"/>
      <c r="E158" s="30" t="str">
        <f aca="false">IF(OR(C158="",D158=""),"",IF(D158&lt;C158,"Check dates",NETWORKDAYS(C158,D158,Setup!$G$9:$G$23)))</f>
        <v/>
      </c>
      <c r="F158" s="23"/>
      <c r="G158" s="23"/>
    </row>
    <row r="159" customFormat="false" ht="15" hidden="false" customHeight="false" outlineLevel="0" collapsed="false">
      <c r="A159" s="23"/>
      <c r="B159" s="23"/>
      <c r="C159" s="31"/>
      <c r="D159" s="31"/>
      <c r="E159" s="30" t="str">
        <f aca="false">IF(OR(C159="",D159=""),"",IF(D159&lt;C159,"Check dates",NETWORKDAYS(C159,D159,Setup!$G$9:$G$23)))</f>
        <v/>
      </c>
      <c r="F159" s="23"/>
      <c r="G159" s="23"/>
    </row>
    <row r="160" customFormat="false" ht="15" hidden="false" customHeight="false" outlineLevel="0" collapsed="false">
      <c r="A160" s="23"/>
      <c r="B160" s="23"/>
      <c r="C160" s="31"/>
      <c r="D160" s="31"/>
      <c r="E160" s="30" t="str">
        <f aca="false">IF(OR(C160="",D160=""),"",IF(D160&lt;C160,"Check dates",NETWORKDAYS(C160,D160,Setup!$G$9:$G$23)))</f>
        <v/>
      </c>
      <c r="F160" s="23"/>
      <c r="G160" s="23"/>
    </row>
    <row r="161" customFormat="false" ht="15" hidden="false" customHeight="false" outlineLevel="0" collapsed="false">
      <c r="A161" s="23"/>
      <c r="B161" s="23"/>
      <c r="C161" s="31"/>
      <c r="D161" s="31"/>
      <c r="E161" s="30" t="str">
        <f aca="false">IF(OR(C161="",D161=""),"",IF(D161&lt;C161,"Check dates",NETWORKDAYS(C161,D161,Setup!$G$9:$G$23)))</f>
        <v/>
      </c>
      <c r="F161" s="23"/>
      <c r="G161" s="23"/>
    </row>
    <row r="162" customFormat="false" ht="15" hidden="false" customHeight="false" outlineLevel="0" collapsed="false">
      <c r="A162" s="23"/>
      <c r="B162" s="23"/>
      <c r="C162" s="31"/>
      <c r="D162" s="31"/>
      <c r="E162" s="30" t="str">
        <f aca="false">IF(OR(C162="",D162=""),"",IF(D162&lt;C162,"Check dates",NETWORKDAYS(C162,D162,Setup!$G$9:$G$23)))</f>
        <v/>
      </c>
      <c r="F162" s="23"/>
      <c r="G162" s="23"/>
    </row>
    <row r="163" customFormat="false" ht="15" hidden="false" customHeight="false" outlineLevel="0" collapsed="false">
      <c r="A163" s="23"/>
      <c r="B163" s="23"/>
      <c r="C163" s="31"/>
      <c r="D163" s="31"/>
      <c r="E163" s="30" t="str">
        <f aca="false">IF(OR(C163="",D163=""),"",IF(D163&lt;C163,"Check dates",NETWORKDAYS(C163,D163,Setup!$G$9:$G$23)))</f>
        <v/>
      </c>
      <c r="F163" s="23"/>
      <c r="G163" s="23"/>
    </row>
    <row r="164" customFormat="false" ht="15" hidden="false" customHeight="false" outlineLevel="0" collapsed="false">
      <c r="A164" s="23"/>
      <c r="B164" s="23"/>
      <c r="C164" s="31"/>
      <c r="D164" s="31"/>
      <c r="E164" s="30" t="str">
        <f aca="false">IF(OR(C164="",D164=""),"",IF(D164&lt;C164,"Check dates",NETWORKDAYS(C164,D164,Setup!$G$9:$G$23)))</f>
        <v/>
      </c>
      <c r="F164" s="23"/>
      <c r="G164" s="23"/>
    </row>
    <row r="165" customFormat="false" ht="15" hidden="false" customHeight="false" outlineLevel="0" collapsed="false">
      <c r="A165" s="23"/>
      <c r="B165" s="23"/>
      <c r="C165" s="31"/>
      <c r="D165" s="31"/>
      <c r="E165" s="30" t="str">
        <f aca="false">IF(OR(C165="",D165=""),"",IF(D165&lt;C165,"Check dates",NETWORKDAYS(C165,D165,Setup!$G$9:$G$23)))</f>
        <v/>
      </c>
      <c r="F165" s="23"/>
      <c r="G165" s="23"/>
    </row>
    <row r="166" customFormat="false" ht="15" hidden="false" customHeight="false" outlineLevel="0" collapsed="false">
      <c r="A166" s="23"/>
      <c r="B166" s="23"/>
      <c r="C166" s="31"/>
      <c r="D166" s="31"/>
      <c r="E166" s="30" t="str">
        <f aca="false">IF(OR(C166="",D166=""),"",IF(D166&lt;C166,"Check dates",NETWORKDAYS(C166,D166,Setup!$G$9:$G$23)))</f>
        <v/>
      </c>
      <c r="F166" s="23"/>
      <c r="G166" s="23"/>
    </row>
    <row r="167" customFormat="false" ht="15" hidden="false" customHeight="false" outlineLevel="0" collapsed="false">
      <c r="A167" s="23"/>
      <c r="B167" s="23"/>
      <c r="C167" s="31"/>
      <c r="D167" s="31"/>
      <c r="E167" s="30" t="str">
        <f aca="false">IF(OR(C167="",D167=""),"",IF(D167&lt;C167,"Check dates",NETWORKDAYS(C167,D167,Setup!$G$9:$G$23)))</f>
        <v/>
      </c>
      <c r="F167" s="23"/>
      <c r="G167" s="23"/>
    </row>
    <row r="168" customFormat="false" ht="15" hidden="false" customHeight="false" outlineLevel="0" collapsed="false">
      <c r="A168" s="23"/>
      <c r="B168" s="23"/>
      <c r="C168" s="31"/>
      <c r="D168" s="31"/>
      <c r="E168" s="30" t="str">
        <f aca="false">IF(OR(C168="",D168=""),"",IF(D168&lt;C168,"Check dates",NETWORKDAYS(C168,D168,Setup!$G$9:$G$23)))</f>
        <v/>
      </c>
      <c r="F168" s="23"/>
      <c r="G168" s="23"/>
    </row>
    <row r="169" customFormat="false" ht="15" hidden="false" customHeight="false" outlineLevel="0" collapsed="false">
      <c r="A169" s="23"/>
      <c r="B169" s="23"/>
      <c r="C169" s="31"/>
      <c r="D169" s="31"/>
      <c r="E169" s="30" t="str">
        <f aca="false">IF(OR(C169="",D169=""),"",IF(D169&lt;C169,"Check dates",NETWORKDAYS(C169,D169,Setup!$G$9:$G$23)))</f>
        <v/>
      </c>
      <c r="F169" s="23"/>
      <c r="G169" s="23"/>
    </row>
    <row r="170" customFormat="false" ht="15" hidden="false" customHeight="false" outlineLevel="0" collapsed="false">
      <c r="A170" s="23"/>
      <c r="B170" s="23"/>
      <c r="C170" s="31"/>
      <c r="D170" s="31"/>
      <c r="E170" s="30" t="str">
        <f aca="false">IF(OR(C170="",D170=""),"",IF(D170&lt;C170,"Check dates",NETWORKDAYS(C170,D170,Setup!$G$9:$G$23)))</f>
        <v/>
      </c>
      <c r="F170" s="23"/>
      <c r="G170" s="23"/>
    </row>
    <row r="171" customFormat="false" ht="15" hidden="false" customHeight="false" outlineLevel="0" collapsed="false">
      <c r="A171" s="23"/>
      <c r="B171" s="23"/>
      <c r="C171" s="31"/>
      <c r="D171" s="31"/>
      <c r="E171" s="30" t="str">
        <f aca="false">IF(OR(C171="",D171=""),"",IF(D171&lt;C171,"Check dates",NETWORKDAYS(C171,D171,Setup!$G$9:$G$23)))</f>
        <v/>
      </c>
      <c r="F171" s="23"/>
      <c r="G171" s="23"/>
    </row>
    <row r="172" customFormat="false" ht="15" hidden="false" customHeight="false" outlineLevel="0" collapsed="false">
      <c r="A172" s="23"/>
      <c r="B172" s="23"/>
      <c r="C172" s="31"/>
      <c r="D172" s="31"/>
      <c r="E172" s="30" t="str">
        <f aca="false">IF(OR(C172="",D172=""),"",IF(D172&lt;C172,"Check dates",NETWORKDAYS(C172,D172,Setup!$G$9:$G$23)))</f>
        <v/>
      </c>
      <c r="F172" s="23"/>
      <c r="G172" s="23"/>
    </row>
    <row r="173" customFormat="false" ht="15" hidden="false" customHeight="false" outlineLevel="0" collapsed="false">
      <c r="A173" s="23"/>
      <c r="B173" s="23"/>
      <c r="C173" s="31"/>
      <c r="D173" s="31"/>
      <c r="E173" s="30" t="str">
        <f aca="false">IF(OR(C173="",D173=""),"",IF(D173&lt;C173,"Check dates",NETWORKDAYS(C173,D173,Setup!$G$9:$G$23)))</f>
        <v/>
      </c>
      <c r="F173" s="23"/>
      <c r="G173" s="23"/>
    </row>
    <row r="174" customFormat="false" ht="15" hidden="false" customHeight="false" outlineLevel="0" collapsed="false">
      <c r="A174" s="23"/>
      <c r="B174" s="23"/>
      <c r="C174" s="31"/>
      <c r="D174" s="31"/>
      <c r="E174" s="30" t="str">
        <f aca="false">IF(OR(C174="",D174=""),"",IF(D174&lt;C174,"Check dates",NETWORKDAYS(C174,D174,Setup!$G$9:$G$23)))</f>
        <v/>
      </c>
      <c r="F174" s="23"/>
      <c r="G174" s="23"/>
    </row>
    <row r="175" customFormat="false" ht="15" hidden="false" customHeight="false" outlineLevel="0" collapsed="false">
      <c r="A175" s="23"/>
      <c r="B175" s="23"/>
      <c r="C175" s="31"/>
      <c r="D175" s="31"/>
      <c r="E175" s="30" t="str">
        <f aca="false">IF(OR(C175="",D175=""),"",IF(D175&lt;C175,"Check dates",NETWORKDAYS(C175,D175,Setup!$G$9:$G$23)))</f>
        <v/>
      </c>
      <c r="F175" s="23"/>
      <c r="G175" s="23"/>
    </row>
    <row r="176" customFormat="false" ht="15" hidden="false" customHeight="false" outlineLevel="0" collapsed="false">
      <c r="A176" s="23"/>
      <c r="B176" s="23"/>
      <c r="C176" s="31"/>
      <c r="D176" s="31"/>
      <c r="E176" s="30" t="str">
        <f aca="false">IF(OR(C176="",D176=""),"",IF(D176&lt;C176,"Check dates",NETWORKDAYS(C176,D176,Setup!$G$9:$G$23)))</f>
        <v/>
      </c>
      <c r="F176" s="23"/>
      <c r="G176" s="23"/>
    </row>
    <row r="177" customFormat="false" ht="15" hidden="false" customHeight="false" outlineLevel="0" collapsed="false">
      <c r="A177" s="23"/>
      <c r="B177" s="23"/>
      <c r="C177" s="31"/>
      <c r="D177" s="31"/>
      <c r="E177" s="30" t="str">
        <f aca="false">IF(OR(C177="",D177=""),"",IF(D177&lt;C177,"Check dates",NETWORKDAYS(C177,D177,Setup!$G$9:$G$23)))</f>
        <v/>
      </c>
      <c r="F177" s="23"/>
      <c r="G177" s="23"/>
    </row>
    <row r="178" customFormat="false" ht="15" hidden="false" customHeight="false" outlineLevel="0" collapsed="false">
      <c r="A178" s="23"/>
      <c r="B178" s="23"/>
      <c r="C178" s="31"/>
      <c r="D178" s="31"/>
      <c r="E178" s="30" t="str">
        <f aca="false">IF(OR(C178="",D178=""),"",IF(D178&lt;C178,"Check dates",NETWORKDAYS(C178,D178,Setup!$G$9:$G$23)))</f>
        <v/>
      </c>
      <c r="F178" s="23"/>
      <c r="G178" s="23"/>
    </row>
    <row r="179" customFormat="false" ht="15" hidden="false" customHeight="false" outlineLevel="0" collapsed="false">
      <c r="A179" s="23"/>
      <c r="B179" s="23"/>
      <c r="C179" s="31"/>
      <c r="D179" s="31"/>
      <c r="E179" s="30" t="str">
        <f aca="false">IF(OR(C179="",D179=""),"",IF(D179&lt;C179,"Check dates",NETWORKDAYS(C179,D179,Setup!$G$9:$G$23)))</f>
        <v/>
      </c>
      <c r="F179" s="23"/>
      <c r="G179" s="23"/>
    </row>
    <row r="180" customFormat="false" ht="15" hidden="false" customHeight="false" outlineLevel="0" collapsed="false">
      <c r="A180" s="23"/>
      <c r="B180" s="23"/>
      <c r="C180" s="31"/>
      <c r="D180" s="31"/>
      <c r="E180" s="30" t="str">
        <f aca="false">IF(OR(C180="",D180=""),"",IF(D180&lt;C180,"Check dates",NETWORKDAYS(C180,D180,Setup!$G$9:$G$23)))</f>
        <v/>
      </c>
      <c r="F180" s="23"/>
      <c r="G180" s="23"/>
    </row>
    <row r="181" customFormat="false" ht="15" hidden="false" customHeight="false" outlineLevel="0" collapsed="false">
      <c r="A181" s="23"/>
      <c r="B181" s="23"/>
      <c r="C181" s="31"/>
      <c r="D181" s="31"/>
      <c r="E181" s="30" t="str">
        <f aca="false">IF(OR(C181="",D181=""),"",IF(D181&lt;C181,"Check dates",NETWORKDAYS(C181,D181,Setup!$G$9:$G$23)))</f>
        <v/>
      </c>
      <c r="F181" s="23"/>
      <c r="G181" s="23"/>
    </row>
    <row r="182" customFormat="false" ht="15" hidden="false" customHeight="false" outlineLevel="0" collapsed="false">
      <c r="A182" s="23"/>
      <c r="B182" s="23"/>
      <c r="C182" s="31"/>
      <c r="D182" s="31"/>
      <c r="E182" s="30" t="str">
        <f aca="false">IF(OR(C182="",D182=""),"",IF(D182&lt;C182,"Check dates",NETWORKDAYS(C182,D182,Setup!$G$9:$G$23)))</f>
        <v/>
      </c>
      <c r="F182" s="23"/>
      <c r="G182" s="23"/>
    </row>
    <row r="183" customFormat="false" ht="15" hidden="false" customHeight="false" outlineLevel="0" collapsed="false">
      <c r="A183" s="23"/>
      <c r="B183" s="23"/>
      <c r="C183" s="31"/>
      <c r="D183" s="31"/>
      <c r="E183" s="30" t="str">
        <f aca="false">IF(OR(C183="",D183=""),"",IF(D183&lt;C183,"Check dates",NETWORKDAYS(C183,D183,Setup!$G$9:$G$23)))</f>
        <v/>
      </c>
      <c r="F183" s="23"/>
      <c r="G183" s="23"/>
    </row>
    <row r="184" customFormat="false" ht="15" hidden="false" customHeight="false" outlineLevel="0" collapsed="false">
      <c r="A184" s="23"/>
      <c r="B184" s="23"/>
      <c r="C184" s="31"/>
      <c r="D184" s="31"/>
      <c r="E184" s="30" t="str">
        <f aca="false">IF(OR(C184="",D184=""),"",IF(D184&lt;C184,"Check dates",NETWORKDAYS(C184,D184,Setup!$G$9:$G$23)))</f>
        <v/>
      </c>
      <c r="F184" s="23"/>
      <c r="G184" s="23"/>
    </row>
    <row r="185" customFormat="false" ht="15" hidden="false" customHeight="false" outlineLevel="0" collapsed="false">
      <c r="A185" s="23"/>
      <c r="B185" s="23"/>
      <c r="C185" s="31"/>
      <c r="D185" s="31"/>
      <c r="E185" s="30" t="str">
        <f aca="false">IF(OR(C185="",D185=""),"",IF(D185&lt;C185,"Check dates",NETWORKDAYS(C185,D185,Setup!$G$9:$G$23)))</f>
        <v/>
      </c>
      <c r="F185" s="23"/>
      <c r="G185" s="23"/>
    </row>
    <row r="186" customFormat="false" ht="15" hidden="false" customHeight="false" outlineLevel="0" collapsed="false">
      <c r="A186" s="23"/>
      <c r="B186" s="23"/>
      <c r="C186" s="31"/>
      <c r="D186" s="31"/>
      <c r="E186" s="30" t="str">
        <f aca="false">IF(OR(C186="",D186=""),"",IF(D186&lt;C186,"Check dates",NETWORKDAYS(C186,D186,Setup!$G$9:$G$23)))</f>
        <v/>
      </c>
      <c r="F186" s="23"/>
      <c r="G186" s="23"/>
    </row>
    <row r="187" customFormat="false" ht="15" hidden="false" customHeight="false" outlineLevel="0" collapsed="false">
      <c r="A187" s="23"/>
      <c r="B187" s="23"/>
      <c r="C187" s="31"/>
      <c r="D187" s="31"/>
      <c r="E187" s="30" t="str">
        <f aca="false">IF(OR(C187="",D187=""),"",IF(D187&lt;C187,"Check dates",NETWORKDAYS(C187,D187,Setup!$G$9:$G$23)))</f>
        <v/>
      </c>
      <c r="F187" s="23"/>
      <c r="G187" s="23"/>
    </row>
    <row r="188" customFormat="false" ht="15" hidden="false" customHeight="false" outlineLevel="0" collapsed="false">
      <c r="A188" s="23"/>
      <c r="B188" s="23"/>
      <c r="C188" s="31"/>
      <c r="D188" s="31"/>
      <c r="E188" s="30" t="str">
        <f aca="false">IF(OR(C188="",D188=""),"",IF(D188&lt;C188,"Check dates",NETWORKDAYS(C188,D188,Setup!$G$9:$G$23)))</f>
        <v/>
      </c>
      <c r="F188" s="23"/>
      <c r="G188" s="23"/>
    </row>
    <row r="189" customFormat="false" ht="15" hidden="false" customHeight="false" outlineLevel="0" collapsed="false">
      <c r="A189" s="23"/>
      <c r="B189" s="23"/>
      <c r="C189" s="31"/>
      <c r="D189" s="31"/>
      <c r="E189" s="30" t="str">
        <f aca="false">IF(OR(C189="",D189=""),"",IF(D189&lt;C189,"Check dates",NETWORKDAYS(C189,D189,Setup!$G$9:$G$23)))</f>
        <v/>
      </c>
      <c r="F189" s="23"/>
      <c r="G189" s="23"/>
    </row>
    <row r="190" customFormat="false" ht="15" hidden="false" customHeight="false" outlineLevel="0" collapsed="false">
      <c r="A190" s="23"/>
      <c r="B190" s="23"/>
      <c r="C190" s="31"/>
      <c r="D190" s="31"/>
      <c r="E190" s="30" t="str">
        <f aca="false">IF(OR(C190="",D190=""),"",IF(D190&lt;C190,"Check dates",NETWORKDAYS(C190,D190,Setup!$G$9:$G$23)))</f>
        <v/>
      </c>
      <c r="F190" s="23"/>
      <c r="G190" s="23"/>
    </row>
    <row r="191" customFormat="false" ht="15" hidden="false" customHeight="false" outlineLevel="0" collapsed="false">
      <c r="A191" s="23"/>
      <c r="B191" s="23"/>
      <c r="C191" s="31"/>
      <c r="D191" s="31"/>
      <c r="E191" s="30" t="str">
        <f aca="false">IF(OR(C191="",D191=""),"",IF(D191&lt;C191,"Check dates",NETWORKDAYS(C191,D191,Setup!$G$9:$G$23)))</f>
        <v/>
      </c>
      <c r="F191" s="23"/>
      <c r="G191" s="23"/>
    </row>
    <row r="192" customFormat="false" ht="15" hidden="false" customHeight="false" outlineLevel="0" collapsed="false">
      <c r="A192" s="23"/>
      <c r="B192" s="23"/>
      <c r="C192" s="31"/>
      <c r="D192" s="31"/>
      <c r="E192" s="30" t="str">
        <f aca="false">IF(OR(C192="",D192=""),"",IF(D192&lt;C192,"Check dates",NETWORKDAYS(C192,D192,Setup!$G$9:$G$23)))</f>
        <v/>
      </c>
      <c r="F192" s="23"/>
      <c r="G192" s="23"/>
    </row>
    <row r="193" customFormat="false" ht="15" hidden="false" customHeight="false" outlineLevel="0" collapsed="false">
      <c r="A193" s="23"/>
      <c r="B193" s="23"/>
      <c r="C193" s="31"/>
      <c r="D193" s="31"/>
      <c r="E193" s="30" t="str">
        <f aca="false">IF(OR(C193="",D193=""),"",IF(D193&lt;C193,"Check dates",NETWORKDAYS(C193,D193,Setup!$G$9:$G$23)))</f>
        <v/>
      </c>
      <c r="F193" s="23"/>
      <c r="G193" s="23"/>
    </row>
    <row r="194" customFormat="false" ht="15" hidden="false" customHeight="false" outlineLevel="0" collapsed="false">
      <c r="A194" s="23"/>
      <c r="B194" s="23"/>
      <c r="C194" s="31"/>
      <c r="D194" s="31"/>
      <c r="E194" s="30" t="str">
        <f aca="false">IF(OR(C194="",D194=""),"",IF(D194&lt;C194,"Check dates",NETWORKDAYS(C194,D194,Setup!$G$9:$G$23)))</f>
        <v/>
      </c>
      <c r="F194" s="23"/>
      <c r="G194" s="23"/>
    </row>
    <row r="195" customFormat="false" ht="15" hidden="false" customHeight="false" outlineLevel="0" collapsed="false">
      <c r="A195" s="23"/>
      <c r="B195" s="23"/>
      <c r="C195" s="31"/>
      <c r="D195" s="31"/>
      <c r="E195" s="30" t="str">
        <f aca="false">IF(OR(C195="",D195=""),"",IF(D195&lt;C195,"Check dates",NETWORKDAYS(C195,D195,Setup!$G$9:$G$23)))</f>
        <v/>
      </c>
      <c r="F195" s="23"/>
      <c r="G195" s="23"/>
    </row>
    <row r="196" customFormat="false" ht="15" hidden="false" customHeight="false" outlineLevel="0" collapsed="false">
      <c r="A196" s="23"/>
      <c r="B196" s="23"/>
      <c r="C196" s="31"/>
      <c r="D196" s="31"/>
      <c r="E196" s="30" t="str">
        <f aca="false">IF(OR(C196="",D196=""),"",IF(D196&lt;C196,"Check dates",NETWORKDAYS(C196,D196,Setup!$G$9:$G$23)))</f>
        <v/>
      </c>
      <c r="F196" s="23"/>
      <c r="G196" s="23"/>
    </row>
    <row r="197" customFormat="false" ht="15" hidden="false" customHeight="false" outlineLevel="0" collapsed="false">
      <c r="A197" s="23"/>
      <c r="B197" s="23"/>
      <c r="C197" s="31"/>
      <c r="D197" s="31"/>
      <c r="E197" s="30" t="str">
        <f aca="false">IF(OR(C197="",D197=""),"",IF(D197&lt;C197,"Check dates",NETWORKDAYS(C197,D197,Setup!$G$9:$G$23)))</f>
        <v/>
      </c>
      <c r="F197" s="23"/>
      <c r="G197" s="23"/>
    </row>
    <row r="198" customFormat="false" ht="15" hidden="false" customHeight="false" outlineLevel="0" collapsed="false">
      <c r="A198" s="23"/>
      <c r="B198" s="23"/>
      <c r="C198" s="31"/>
      <c r="D198" s="31"/>
      <c r="E198" s="30" t="str">
        <f aca="false">IF(OR(C198="",D198=""),"",IF(D198&lt;C198,"Check dates",NETWORKDAYS(C198,D198,Setup!$G$9:$G$23)))</f>
        <v/>
      </c>
      <c r="F198" s="23"/>
      <c r="G198" s="23"/>
    </row>
    <row r="199" customFormat="false" ht="15" hidden="false" customHeight="false" outlineLevel="0" collapsed="false">
      <c r="A199" s="23"/>
      <c r="B199" s="23"/>
      <c r="C199" s="31"/>
      <c r="D199" s="31"/>
      <c r="E199" s="30" t="str">
        <f aca="false">IF(OR(C199="",D199=""),"",IF(D199&lt;C199,"Check dates",NETWORKDAYS(C199,D199,Setup!$G$9:$G$23)))</f>
        <v/>
      </c>
      <c r="F199" s="23"/>
      <c r="G199" s="23"/>
    </row>
    <row r="200" customFormat="false" ht="15" hidden="false" customHeight="false" outlineLevel="0" collapsed="false">
      <c r="A200" s="23"/>
      <c r="B200" s="23"/>
      <c r="C200" s="31"/>
      <c r="D200" s="31"/>
      <c r="E200" s="30" t="str">
        <f aca="false">IF(OR(C200="",D200=""),"",IF(D200&lt;C200,"Check dates",NETWORKDAYS(C200,D200,Setup!$G$9:$G$23)))</f>
        <v/>
      </c>
      <c r="F200" s="23"/>
      <c r="G200" s="23"/>
    </row>
    <row r="201" customFormat="false" ht="15" hidden="false" customHeight="false" outlineLevel="0" collapsed="false">
      <c r="A201" s="23"/>
      <c r="B201" s="23"/>
      <c r="C201" s="31"/>
      <c r="D201" s="31"/>
      <c r="E201" s="30" t="str">
        <f aca="false">IF(OR(C201="",D201=""),"",IF(D201&lt;C201,"Check dates",NETWORKDAYS(C201,D201,Setup!$G$9:$G$23)))</f>
        <v/>
      </c>
      <c r="F201" s="23"/>
      <c r="G201" s="23"/>
    </row>
    <row r="202" customFormat="false" ht="15" hidden="false" customHeight="false" outlineLevel="0" collapsed="false">
      <c r="A202" s="23"/>
      <c r="B202" s="23"/>
      <c r="C202" s="31"/>
      <c r="D202" s="31"/>
      <c r="E202" s="30" t="str">
        <f aca="false">IF(OR(C202="",D202=""),"",IF(D202&lt;C202,"Check dates",NETWORKDAYS(C202,D202,Setup!$G$9:$G$23)))</f>
        <v/>
      </c>
      <c r="F202" s="23"/>
      <c r="G202" s="23"/>
    </row>
    <row r="203" customFormat="false" ht="15" hidden="false" customHeight="false" outlineLevel="0" collapsed="false">
      <c r="A203" s="23"/>
      <c r="B203" s="23"/>
      <c r="C203" s="31"/>
      <c r="D203" s="31"/>
      <c r="E203" s="30" t="str">
        <f aca="false">IF(OR(C203="",D203=""),"",IF(D203&lt;C203,"Check dates",NETWORKDAYS(C203,D203,Setup!$G$9:$G$23)))</f>
        <v/>
      </c>
      <c r="F203" s="23"/>
      <c r="G203" s="23"/>
    </row>
    <row r="204" customFormat="false" ht="15" hidden="false" customHeight="false" outlineLevel="0" collapsed="false">
      <c r="A204" s="23"/>
      <c r="B204" s="23"/>
      <c r="C204" s="31"/>
      <c r="D204" s="31"/>
      <c r="E204" s="30" t="str">
        <f aca="false">IF(OR(C204="",D204=""),"",IF(D204&lt;C204,"Check dates",NETWORKDAYS(C204,D204,Setup!$G$9:$G$23)))</f>
        <v/>
      </c>
      <c r="F204" s="23"/>
      <c r="G204" s="23"/>
    </row>
    <row r="205" customFormat="false" ht="15" hidden="false" customHeight="false" outlineLevel="0" collapsed="false">
      <c r="A205" s="23"/>
      <c r="B205" s="23"/>
      <c r="C205" s="31"/>
      <c r="D205" s="31"/>
      <c r="E205" s="30" t="str">
        <f aca="false">IF(OR(C205="",D205=""),"",IF(D205&lt;C205,"Check dates",NETWORKDAYS(C205,D205,Setup!$G$9:$G$23)))</f>
        <v/>
      </c>
      <c r="F205" s="23"/>
      <c r="G205" s="23"/>
    </row>
    <row r="206" customFormat="false" ht="15" hidden="false" customHeight="false" outlineLevel="0" collapsed="false">
      <c r="A206" s="23"/>
      <c r="B206" s="23"/>
      <c r="C206" s="31"/>
      <c r="D206" s="31"/>
      <c r="E206" s="30" t="str">
        <f aca="false">IF(OR(C206="",D206=""),"",IF(D206&lt;C206,"Check dates",NETWORKDAYS(C206,D206,Setup!$G$9:$G$23)))</f>
        <v/>
      </c>
      <c r="F206" s="23"/>
      <c r="G206" s="23"/>
    </row>
    <row r="207" customFormat="false" ht="15" hidden="false" customHeight="false" outlineLevel="0" collapsed="false">
      <c r="A207" s="23"/>
      <c r="B207" s="23"/>
      <c r="C207" s="31"/>
      <c r="D207" s="31"/>
      <c r="E207" s="30" t="str">
        <f aca="false">IF(OR(C207="",D207=""),"",IF(D207&lt;C207,"Check dates",NETWORKDAYS(C207,D207,Setup!$G$9:$G$23)))</f>
        <v/>
      </c>
      <c r="F207" s="23"/>
      <c r="G207" s="23"/>
    </row>
    <row r="208" customFormat="false" ht="15" hidden="false" customHeight="false" outlineLevel="0" collapsed="false">
      <c r="A208" s="23"/>
      <c r="B208" s="23"/>
      <c r="C208" s="31"/>
      <c r="D208" s="31"/>
      <c r="E208" s="30" t="str">
        <f aca="false">IF(OR(C208="",D208=""),"",IF(D208&lt;C208,"Check dates",NETWORKDAYS(C208,D208,Setup!$G$9:$G$23)))</f>
        <v/>
      </c>
      <c r="F208" s="23"/>
      <c r="G208" s="23"/>
    </row>
    <row r="209" customFormat="false" ht="15" hidden="false" customHeight="false" outlineLevel="0" collapsed="false">
      <c r="A209" s="23"/>
      <c r="B209" s="23"/>
      <c r="C209" s="31"/>
      <c r="D209" s="31"/>
      <c r="E209" s="30" t="str">
        <f aca="false">IF(OR(C209="",D209=""),"",IF(D209&lt;C209,"Check dates",NETWORKDAYS(C209,D209,Setup!$G$9:$G$23)))</f>
        <v/>
      </c>
      <c r="F209" s="23"/>
      <c r="G209" s="23"/>
    </row>
    <row r="210" customFormat="false" ht="15" hidden="false" customHeight="false" outlineLevel="0" collapsed="false">
      <c r="A210" s="23"/>
      <c r="B210" s="23"/>
      <c r="C210" s="31"/>
      <c r="D210" s="31"/>
      <c r="E210" s="30" t="str">
        <f aca="false">IF(OR(C210="",D210=""),"",IF(D210&lt;C210,"Check dates",NETWORKDAYS(C210,D210,Setup!$G$9:$G$23)))</f>
        <v/>
      </c>
      <c r="F210" s="23"/>
      <c r="G210" s="23"/>
    </row>
    <row r="211" customFormat="false" ht="15" hidden="false" customHeight="false" outlineLevel="0" collapsed="false">
      <c r="A211" s="23"/>
      <c r="B211" s="23"/>
      <c r="C211" s="31"/>
      <c r="D211" s="31"/>
      <c r="E211" s="30" t="str">
        <f aca="false">IF(OR(C211="",D211=""),"",IF(D211&lt;C211,"Check dates",NETWORKDAYS(C211,D211,Setup!$G$9:$G$23)))</f>
        <v/>
      </c>
      <c r="F211" s="23"/>
      <c r="G211" s="23"/>
    </row>
    <row r="212" customFormat="false" ht="15" hidden="false" customHeight="false" outlineLevel="0" collapsed="false">
      <c r="A212" s="23"/>
      <c r="B212" s="23"/>
      <c r="C212" s="31"/>
      <c r="D212" s="31"/>
      <c r="E212" s="30" t="str">
        <f aca="false">IF(OR(C212="",D212=""),"",IF(D212&lt;C212,"Check dates",NETWORKDAYS(C212,D212,Setup!$G$9:$G$23)))</f>
        <v/>
      </c>
      <c r="F212" s="23"/>
      <c r="G212" s="23"/>
    </row>
    <row r="213" customFormat="false" ht="15" hidden="false" customHeight="false" outlineLevel="0" collapsed="false">
      <c r="A213" s="23"/>
      <c r="B213" s="23"/>
      <c r="C213" s="31"/>
      <c r="D213" s="31"/>
      <c r="E213" s="30" t="str">
        <f aca="false">IF(OR(C213="",D213=""),"",IF(D213&lt;C213,"Check dates",NETWORKDAYS(C213,D213,Setup!$G$9:$G$23)))</f>
        <v/>
      </c>
      <c r="F213" s="23"/>
      <c r="G213" s="23"/>
    </row>
    <row r="214" customFormat="false" ht="15" hidden="false" customHeight="false" outlineLevel="0" collapsed="false">
      <c r="A214" s="23"/>
      <c r="B214" s="23"/>
      <c r="C214" s="31"/>
      <c r="D214" s="31"/>
      <c r="E214" s="30" t="str">
        <f aca="false">IF(OR(C214="",D214=""),"",IF(D214&lt;C214,"Check dates",NETWORKDAYS(C214,D214,Setup!$G$9:$G$23)))</f>
        <v/>
      </c>
      <c r="F214" s="23"/>
      <c r="G214" s="23"/>
    </row>
    <row r="215" customFormat="false" ht="15" hidden="false" customHeight="false" outlineLevel="0" collapsed="false">
      <c r="A215" s="23"/>
      <c r="B215" s="23"/>
      <c r="C215" s="31"/>
      <c r="D215" s="31"/>
      <c r="E215" s="30" t="str">
        <f aca="false">IF(OR(C215="",D215=""),"",IF(D215&lt;C215,"Check dates",NETWORKDAYS(C215,D215,Setup!$G$9:$G$23)))</f>
        <v/>
      </c>
      <c r="F215" s="23"/>
      <c r="G215" s="23"/>
    </row>
    <row r="216" customFormat="false" ht="15" hidden="false" customHeight="false" outlineLevel="0" collapsed="false">
      <c r="A216" s="23"/>
      <c r="B216" s="23"/>
      <c r="C216" s="31"/>
      <c r="D216" s="31"/>
      <c r="E216" s="30" t="str">
        <f aca="false">IF(OR(C216="",D216=""),"",IF(D216&lt;C216,"Check dates",NETWORKDAYS(C216,D216,Setup!$G$9:$G$23)))</f>
        <v/>
      </c>
      <c r="F216" s="23"/>
      <c r="G216" s="23"/>
    </row>
    <row r="217" customFormat="false" ht="15" hidden="false" customHeight="false" outlineLevel="0" collapsed="false">
      <c r="A217" s="23"/>
      <c r="B217" s="23"/>
      <c r="C217" s="31"/>
      <c r="D217" s="31"/>
      <c r="E217" s="30" t="str">
        <f aca="false">IF(OR(C217="",D217=""),"",IF(D217&lt;C217,"Check dates",NETWORKDAYS(C217,D217,Setup!$G$9:$G$23)))</f>
        <v/>
      </c>
      <c r="F217" s="23"/>
      <c r="G217" s="23"/>
    </row>
    <row r="218" customFormat="false" ht="15" hidden="false" customHeight="false" outlineLevel="0" collapsed="false">
      <c r="A218" s="23"/>
      <c r="B218" s="23"/>
      <c r="C218" s="31"/>
      <c r="D218" s="31"/>
      <c r="E218" s="30" t="str">
        <f aca="false">IF(OR(C218="",D218=""),"",IF(D218&lt;C218,"Check dates",NETWORKDAYS(C218,D218,Setup!$G$9:$G$23)))</f>
        <v/>
      </c>
      <c r="F218" s="23"/>
      <c r="G218" s="23"/>
    </row>
    <row r="219" customFormat="false" ht="15" hidden="false" customHeight="false" outlineLevel="0" collapsed="false">
      <c r="A219" s="23"/>
      <c r="B219" s="23"/>
      <c r="C219" s="31"/>
      <c r="D219" s="31"/>
      <c r="E219" s="30" t="str">
        <f aca="false">IF(OR(C219="",D219=""),"",IF(D219&lt;C219,"Check dates",NETWORKDAYS(C219,D219,Setup!$G$9:$G$23)))</f>
        <v/>
      </c>
      <c r="F219" s="23"/>
      <c r="G219" s="23"/>
    </row>
    <row r="220" customFormat="false" ht="15" hidden="false" customHeight="false" outlineLevel="0" collapsed="false">
      <c r="A220" s="23"/>
      <c r="B220" s="23"/>
      <c r="C220" s="31"/>
      <c r="D220" s="31"/>
      <c r="E220" s="30" t="str">
        <f aca="false">IF(OR(C220="",D220=""),"",IF(D220&lt;C220,"Check dates",NETWORKDAYS(C220,D220,Setup!$G$9:$G$23)))</f>
        <v/>
      </c>
      <c r="F220" s="23"/>
      <c r="G220" s="23"/>
    </row>
    <row r="221" customFormat="false" ht="15" hidden="false" customHeight="false" outlineLevel="0" collapsed="false">
      <c r="A221" s="23"/>
      <c r="B221" s="23"/>
      <c r="C221" s="31"/>
      <c r="D221" s="31"/>
      <c r="E221" s="30" t="str">
        <f aca="false">IF(OR(C221="",D221=""),"",IF(D221&lt;C221,"Check dates",NETWORKDAYS(C221,D221,Setup!$G$9:$G$23)))</f>
        <v/>
      </c>
      <c r="F221" s="23"/>
      <c r="G221" s="23"/>
    </row>
    <row r="222" customFormat="false" ht="15" hidden="false" customHeight="false" outlineLevel="0" collapsed="false">
      <c r="A222" s="23"/>
      <c r="B222" s="23"/>
      <c r="C222" s="31"/>
      <c r="D222" s="31"/>
      <c r="E222" s="30" t="str">
        <f aca="false">IF(OR(C222="",D222=""),"",IF(D222&lt;C222,"Check dates",NETWORKDAYS(C222,D222,Setup!$G$9:$G$23)))</f>
        <v/>
      </c>
      <c r="F222" s="23"/>
      <c r="G222" s="23"/>
    </row>
    <row r="223" customFormat="false" ht="15" hidden="false" customHeight="false" outlineLevel="0" collapsed="false">
      <c r="A223" s="23"/>
      <c r="B223" s="23"/>
      <c r="C223" s="31"/>
      <c r="D223" s="31"/>
      <c r="E223" s="30" t="str">
        <f aca="false">IF(OR(C223="",D223=""),"",IF(D223&lt;C223,"Check dates",NETWORKDAYS(C223,D223,Setup!$G$9:$G$23)))</f>
        <v/>
      </c>
      <c r="F223" s="23"/>
      <c r="G223" s="23"/>
    </row>
    <row r="224" customFormat="false" ht="15" hidden="false" customHeight="false" outlineLevel="0" collapsed="false">
      <c r="A224" s="23"/>
      <c r="B224" s="23"/>
      <c r="C224" s="31"/>
      <c r="D224" s="31"/>
      <c r="E224" s="30" t="str">
        <f aca="false">IF(OR(C224="",D224=""),"",IF(D224&lt;C224,"Check dates",NETWORKDAYS(C224,D224,Setup!$G$9:$G$23)))</f>
        <v/>
      </c>
      <c r="F224" s="23"/>
      <c r="G224" s="23"/>
    </row>
    <row r="225" customFormat="false" ht="15" hidden="false" customHeight="false" outlineLevel="0" collapsed="false">
      <c r="A225" s="23"/>
      <c r="B225" s="23"/>
      <c r="C225" s="31"/>
      <c r="D225" s="31"/>
      <c r="E225" s="30" t="str">
        <f aca="false">IF(OR(C225="",D225=""),"",IF(D225&lt;C225,"Check dates",NETWORKDAYS(C225,D225,Setup!$G$9:$G$23)))</f>
        <v/>
      </c>
      <c r="F225" s="23"/>
      <c r="G225" s="23"/>
    </row>
    <row r="226" customFormat="false" ht="15" hidden="false" customHeight="false" outlineLevel="0" collapsed="false">
      <c r="A226" s="23"/>
      <c r="B226" s="23"/>
      <c r="C226" s="31"/>
      <c r="D226" s="31"/>
      <c r="E226" s="30" t="str">
        <f aca="false">IF(OR(C226="",D226=""),"",IF(D226&lt;C226,"Check dates",NETWORKDAYS(C226,D226,Setup!$G$9:$G$23)))</f>
        <v/>
      </c>
      <c r="F226" s="23"/>
      <c r="G226" s="23"/>
    </row>
    <row r="227" customFormat="false" ht="15" hidden="false" customHeight="false" outlineLevel="0" collapsed="false">
      <c r="A227" s="23"/>
      <c r="B227" s="23"/>
      <c r="C227" s="31"/>
      <c r="D227" s="31"/>
      <c r="E227" s="30" t="str">
        <f aca="false">IF(OR(C227="",D227=""),"",IF(D227&lt;C227,"Check dates",NETWORKDAYS(C227,D227,Setup!$G$9:$G$23)))</f>
        <v/>
      </c>
      <c r="F227" s="23"/>
      <c r="G227" s="23"/>
    </row>
    <row r="228" customFormat="false" ht="15" hidden="false" customHeight="false" outlineLevel="0" collapsed="false">
      <c r="A228" s="23"/>
      <c r="B228" s="23"/>
      <c r="C228" s="31"/>
      <c r="D228" s="31"/>
      <c r="E228" s="30" t="str">
        <f aca="false">IF(OR(C228="",D228=""),"",IF(D228&lt;C228,"Check dates",NETWORKDAYS(C228,D228,Setup!$G$9:$G$23)))</f>
        <v/>
      </c>
      <c r="F228" s="23"/>
      <c r="G228" s="23"/>
    </row>
    <row r="229" customFormat="false" ht="15" hidden="false" customHeight="false" outlineLevel="0" collapsed="false">
      <c r="A229" s="23"/>
      <c r="B229" s="23"/>
      <c r="C229" s="31"/>
      <c r="D229" s="31"/>
      <c r="E229" s="30" t="str">
        <f aca="false">IF(OR(C229="",D229=""),"",IF(D229&lt;C229,"Check dates",NETWORKDAYS(C229,D229,Setup!$G$9:$G$23)))</f>
        <v/>
      </c>
      <c r="F229" s="23"/>
      <c r="G229" s="23"/>
    </row>
    <row r="230" customFormat="false" ht="15" hidden="false" customHeight="false" outlineLevel="0" collapsed="false">
      <c r="A230" s="23"/>
      <c r="B230" s="23"/>
      <c r="C230" s="31"/>
      <c r="D230" s="31"/>
      <c r="E230" s="30" t="str">
        <f aca="false">IF(OR(C230="",D230=""),"",IF(D230&lt;C230,"Check dates",NETWORKDAYS(C230,D230,Setup!$G$9:$G$23)))</f>
        <v/>
      </c>
      <c r="F230" s="23"/>
      <c r="G230" s="23"/>
    </row>
    <row r="231" customFormat="false" ht="15" hidden="false" customHeight="false" outlineLevel="0" collapsed="false">
      <c r="A231" s="23"/>
      <c r="B231" s="23"/>
      <c r="C231" s="31"/>
      <c r="D231" s="31"/>
      <c r="E231" s="30" t="str">
        <f aca="false">IF(OR(C231="",D231=""),"",IF(D231&lt;C231,"Check dates",NETWORKDAYS(C231,D231,Setup!$G$9:$G$23)))</f>
        <v/>
      </c>
      <c r="F231" s="23"/>
      <c r="G231" s="23"/>
    </row>
    <row r="232" customFormat="false" ht="15" hidden="false" customHeight="false" outlineLevel="0" collapsed="false">
      <c r="A232" s="23"/>
      <c r="B232" s="23"/>
      <c r="C232" s="31"/>
      <c r="D232" s="31"/>
      <c r="E232" s="30" t="str">
        <f aca="false">IF(OR(C232="",D232=""),"",IF(D232&lt;C232,"Check dates",NETWORKDAYS(C232,D232,Setup!$G$9:$G$23)))</f>
        <v/>
      </c>
      <c r="F232" s="23"/>
      <c r="G232" s="23"/>
    </row>
    <row r="233" customFormat="false" ht="15" hidden="false" customHeight="false" outlineLevel="0" collapsed="false">
      <c r="A233" s="23"/>
      <c r="B233" s="23"/>
      <c r="C233" s="31"/>
      <c r="D233" s="31"/>
      <c r="E233" s="30" t="str">
        <f aca="false">IF(OR(C233="",D233=""),"",IF(D233&lt;C233,"Check dates",NETWORKDAYS(C233,D233,Setup!$G$9:$G$23)))</f>
        <v/>
      </c>
      <c r="F233" s="23"/>
      <c r="G233" s="23"/>
    </row>
    <row r="234" customFormat="false" ht="15" hidden="false" customHeight="false" outlineLevel="0" collapsed="false">
      <c r="A234" s="23"/>
      <c r="B234" s="23"/>
      <c r="C234" s="31"/>
      <c r="D234" s="31"/>
      <c r="E234" s="30" t="str">
        <f aca="false">IF(OR(C234="",D234=""),"",IF(D234&lt;C234,"Check dates",NETWORKDAYS(C234,D234,Setup!$G$9:$G$23)))</f>
        <v/>
      </c>
      <c r="F234" s="23"/>
      <c r="G234" s="23"/>
    </row>
    <row r="235" customFormat="false" ht="15" hidden="false" customHeight="false" outlineLevel="0" collapsed="false">
      <c r="A235" s="23"/>
      <c r="B235" s="23"/>
      <c r="C235" s="31"/>
      <c r="D235" s="31"/>
      <c r="E235" s="30" t="str">
        <f aca="false">IF(OR(C235="",D235=""),"",IF(D235&lt;C235,"Check dates",NETWORKDAYS(C235,D235,Setup!$G$9:$G$23)))</f>
        <v/>
      </c>
      <c r="F235" s="23"/>
      <c r="G235" s="23"/>
    </row>
    <row r="236" customFormat="false" ht="15" hidden="false" customHeight="false" outlineLevel="0" collapsed="false">
      <c r="A236" s="23"/>
      <c r="B236" s="23"/>
      <c r="C236" s="31"/>
      <c r="D236" s="31"/>
      <c r="E236" s="30" t="str">
        <f aca="false">IF(OR(C236="",D236=""),"",IF(D236&lt;C236,"Check dates",NETWORKDAYS(C236,D236,Setup!$G$9:$G$23)))</f>
        <v/>
      </c>
      <c r="F236" s="23"/>
      <c r="G236" s="23"/>
    </row>
    <row r="237" customFormat="false" ht="15" hidden="false" customHeight="false" outlineLevel="0" collapsed="false">
      <c r="A237" s="23"/>
      <c r="B237" s="23"/>
      <c r="C237" s="31"/>
      <c r="D237" s="31"/>
      <c r="E237" s="30" t="str">
        <f aca="false">IF(OR(C237="",D237=""),"",IF(D237&lt;C237,"Check dates",NETWORKDAYS(C237,D237,Setup!$G$9:$G$23)))</f>
        <v/>
      </c>
      <c r="F237" s="23"/>
      <c r="G237" s="23"/>
    </row>
    <row r="238" customFormat="false" ht="15" hidden="false" customHeight="false" outlineLevel="0" collapsed="false">
      <c r="A238" s="23"/>
      <c r="B238" s="23"/>
      <c r="C238" s="31"/>
      <c r="D238" s="31"/>
      <c r="E238" s="30" t="str">
        <f aca="false">IF(OR(C238="",D238=""),"",IF(D238&lt;C238,"Check dates",NETWORKDAYS(C238,D238,Setup!$G$9:$G$23)))</f>
        <v/>
      </c>
      <c r="F238" s="23"/>
      <c r="G238" s="23"/>
    </row>
    <row r="239" customFormat="false" ht="15" hidden="false" customHeight="false" outlineLevel="0" collapsed="false">
      <c r="A239" s="23"/>
      <c r="B239" s="23"/>
      <c r="C239" s="31"/>
      <c r="D239" s="31"/>
      <c r="E239" s="30" t="str">
        <f aca="false">IF(OR(C239="",D239=""),"",IF(D239&lt;C239,"Check dates",NETWORKDAYS(C239,D239,Setup!$G$9:$G$23)))</f>
        <v/>
      </c>
      <c r="F239" s="23"/>
      <c r="G239" s="23"/>
    </row>
    <row r="240" customFormat="false" ht="15" hidden="false" customHeight="false" outlineLevel="0" collapsed="false">
      <c r="A240" s="23"/>
      <c r="B240" s="23"/>
      <c r="C240" s="31"/>
      <c r="D240" s="31"/>
      <c r="E240" s="30" t="str">
        <f aca="false">IF(OR(C240="",D240=""),"",IF(D240&lt;C240,"Check dates",NETWORKDAYS(C240,D240,Setup!$G$9:$G$23)))</f>
        <v/>
      </c>
      <c r="F240" s="23"/>
      <c r="G240" s="23"/>
    </row>
    <row r="241" customFormat="false" ht="15" hidden="false" customHeight="false" outlineLevel="0" collapsed="false">
      <c r="A241" s="23"/>
      <c r="B241" s="23"/>
      <c r="C241" s="31"/>
      <c r="D241" s="31"/>
      <c r="E241" s="30" t="str">
        <f aca="false">IF(OR(C241="",D241=""),"",IF(D241&lt;C241,"Check dates",NETWORKDAYS(C241,D241,Setup!$G$9:$G$23)))</f>
        <v/>
      </c>
      <c r="F241" s="23"/>
      <c r="G241" s="23"/>
    </row>
    <row r="242" customFormat="false" ht="15" hidden="false" customHeight="false" outlineLevel="0" collapsed="false">
      <c r="A242" s="23"/>
      <c r="B242" s="23"/>
      <c r="C242" s="31"/>
      <c r="D242" s="31"/>
      <c r="E242" s="30" t="str">
        <f aca="false">IF(OR(C242="",D242=""),"",IF(D242&lt;C242,"Check dates",NETWORKDAYS(C242,D242,Setup!$G$9:$G$23)))</f>
        <v/>
      </c>
      <c r="F242" s="23"/>
      <c r="G242" s="23"/>
    </row>
    <row r="243" customFormat="false" ht="15" hidden="false" customHeight="false" outlineLevel="0" collapsed="false">
      <c r="A243" s="23"/>
      <c r="B243" s="23"/>
      <c r="C243" s="31"/>
      <c r="D243" s="31"/>
      <c r="E243" s="30" t="str">
        <f aca="false">IF(OR(C243="",D243=""),"",IF(D243&lt;C243,"Check dates",NETWORKDAYS(C243,D243,Setup!$G$9:$G$23)))</f>
        <v/>
      </c>
      <c r="F243" s="23"/>
      <c r="G243" s="23"/>
    </row>
    <row r="244" customFormat="false" ht="15" hidden="false" customHeight="false" outlineLevel="0" collapsed="false">
      <c r="A244" s="23"/>
      <c r="B244" s="23"/>
      <c r="C244" s="31"/>
      <c r="D244" s="31"/>
      <c r="E244" s="30" t="str">
        <f aca="false">IF(OR(C244="",D244=""),"",IF(D244&lt;C244,"Check dates",NETWORKDAYS(C244,D244,Setup!$G$9:$G$23)))</f>
        <v/>
      </c>
      <c r="F244" s="23"/>
      <c r="G244" s="23"/>
    </row>
    <row r="245" customFormat="false" ht="15" hidden="false" customHeight="false" outlineLevel="0" collapsed="false">
      <c r="A245" s="23"/>
      <c r="B245" s="23"/>
      <c r="C245" s="31"/>
      <c r="D245" s="31"/>
      <c r="E245" s="30" t="str">
        <f aca="false">IF(OR(C245="",D245=""),"",IF(D245&lt;C245,"Check dates",NETWORKDAYS(C245,D245,Setup!$G$9:$G$23)))</f>
        <v/>
      </c>
      <c r="F245" s="23"/>
      <c r="G245" s="23"/>
    </row>
    <row r="246" customFormat="false" ht="15" hidden="false" customHeight="false" outlineLevel="0" collapsed="false">
      <c r="A246" s="23"/>
      <c r="B246" s="23"/>
      <c r="C246" s="31"/>
      <c r="D246" s="31"/>
      <c r="E246" s="30" t="str">
        <f aca="false">IF(OR(C246="",D246=""),"",IF(D246&lt;C246,"Check dates",NETWORKDAYS(C246,D246,Setup!$G$9:$G$23)))</f>
        <v/>
      </c>
      <c r="F246" s="23"/>
      <c r="G246" s="23"/>
    </row>
    <row r="247" customFormat="false" ht="15" hidden="false" customHeight="false" outlineLevel="0" collapsed="false">
      <c r="A247" s="23"/>
      <c r="B247" s="23"/>
      <c r="C247" s="31"/>
      <c r="D247" s="31"/>
      <c r="E247" s="30" t="str">
        <f aca="false">IF(OR(C247="",D247=""),"",IF(D247&lt;C247,"Check dates",NETWORKDAYS(C247,D247,Setup!$G$9:$G$23)))</f>
        <v/>
      </c>
      <c r="F247" s="23"/>
      <c r="G247" s="23"/>
    </row>
    <row r="248" customFormat="false" ht="15" hidden="false" customHeight="false" outlineLevel="0" collapsed="false">
      <c r="A248" s="23"/>
      <c r="B248" s="23"/>
      <c r="C248" s="31"/>
      <c r="D248" s="31"/>
      <c r="E248" s="30" t="str">
        <f aca="false">IF(OR(C248="",D248=""),"",IF(D248&lt;C248,"Check dates",NETWORKDAYS(C248,D248,Setup!$G$9:$G$23)))</f>
        <v/>
      </c>
      <c r="F248" s="23"/>
      <c r="G248" s="23"/>
    </row>
    <row r="249" customFormat="false" ht="15" hidden="false" customHeight="false" outlineLevel="0" collapsed="false">
      <c r="A249" s="23"/>
      <c r="B249" s="23"/>
      <c r="C249" s="31"/>
      <c r="D249" s="31"/>
      <c r="E249" s="30" t="str">
        <f aca="false">IF(OR(C249="",D249=""),"",IF(D249&lt;C249,"Check dates",NETWORKDAYS(C249,D249,Setup!$G$9:$G$23)))</f>
        <v/>
      </c>
      <c r="F249" s="23"/>
      <c r="G249" s="23"/>
    </row>
    <row r="250" customFormat="false" ht="15" hidden="false" customHeight="false" outlineLevel="0" collapsed="false">
      <c r="A250" s="23"/>
      <c r="B250" s="23"/>
      <c r="C250" s="31"/>
      <c r="D250" s="31"/>
      <c r="E250" s="30" t="str">
        <f aca="false">IF(OR(C250="",D250=""),"",IF(D250&lt;C250,"Check dates",NETWORKDAYS(C250,D250,Setup!$G$9:$G$23)))</f>
        <v/>
      </c>
      <c r="F250" s="23"/>
      <c r="G250" s="23"/>
    </row>
    <row r="251" customFormat="false" ht="15" hidden="false" customHeight="false" outlineLevel="0" collapsed="false">
      <c r="A251" s="23"/>
      <c r="B251" s="23"/>
      <c r="C251" s="31"/>
      <c r="D251" s="31"/>
      <c r="E251" s="30" t="str">
        <f aca="false">IF(OR(C251="",D251=""),"",IF(D251&lt;C251,"Check dates",NETWORKDAYS(C251,D251,Setup!$G$9:$G$23)))</f>
        <v/>
      </c>
      <c r="F251" s="23"/>
      <c r="G251" s="23"/>
    </row>
    <row r="252" customFormat="false" ht="15" hidden="false" customHeight="false" outlineLevel="0" collapsed="false">
      <c r="A252" s="23"/>
      <c r="B252" s="23"/>
      <c r="C252" s="31"/>
      <c r="D252" s="31"/>
      <c r="E252" s="30" t="str">
        <f aca="false">IF(OR(C252="",D252=""),"",IF(D252&lt;C252,"Check dates",NETWORKDAYS(C252,D252,Setup!$G$9:$G$23)))</f>
        <v/>
      </c>
      <c r="F252" s="23"/>
      <c r="G252" s="23"/>
    </row>
    <row r="253" customFormat="false" ht="15" hidden="false" customHeight="false" outlineLevel="0" collapsed="false">
      <c r="A253" s="23"/>
      <c r="B253" s="23"/>
      <c r="C253" s="31"/>
      <c r="D253" s="31"/>
      <c r="E253" s="30" t="str">
        <f aca="false">IF(OR(C253="",D253=""),"",IF(D253&lt;C253,"Check dates",NETWORKDAYS(C253,D253,Setup!$G$9:$G$23)))</f>
        <v/>
      </c>
      <c r="F253" s="23"/>
      <c r="G253" s="23"/>
    </row>
    <row r="254" customFormat="false" ht="15" hidden="false" customHeight="false" outlineLevel="0" collapsed="false">
      <c r="A254" s="23"/>
      <c r="B254" s="23"/>
      <c r="C254" s="31"/>
      <c r="D254" s="31"/>
      <c r="E254" s="30" t="str">
        <f aca="false">IF(OR(C254="",D254=""),"",IF(D254&lt;C254,"Check dates",NETWORKDAYS(C254,D254,Setup!$G$9:$G$23)))</f>
        <v/>
      </c>
      <c r="F254" s="23"/>
      <c r="G254" s="23"/>
    </row>
    <row r="255" customFormat="false" ht="15" hidden="false" customHeight="false" outlineLevel="0" collapsed="false">
      <c r="A255" s="23"/>
      <c r="B255" s="23"/>
      <c r="C255" s="31"/>
      <c r="D255" s="31"/>
      <c r="E255" s="30" t="str">
        <f aca="false">IF(OR(C255="",D255=""),"",IF(D255&lt;C255,"Check dates",NETWORKDAYS(C255,D255,Setup!$G$9:$G$23)))</f>
        <v/>
      </c>
      <c r="F255" s="23"/>
      <c r="G255" s="23"/>
    </row>
    <row r="256" customFormat="false" ht="15" hidden="false" customHeight="false" outlineLevel="0" collapsed="false">
      <c r="A256" s="23"/>
      <c r="B256" s="23"/>
      <c r="C256" s="31"/>
      <c r="D256" s="31"/>
      <c r="E256" s="30" t="str">
        <f aca="false">IF(OR(C256="",D256=""),"",IF(D256&lt;C256,"Check dates",NETWORKDAYS(C256,D256,Setup!$G$9:$G$23)))</f>
        <v/>
      </c>
      <c r="F256" s="23"/>
      <c r="G256" s="23"/>
    </row>
    <row r="257" customFormat="false" ht="15" hidden="false" customHeight="false" outlineLevel="0" collapsed="false">
      <c r="A257" s="23"/>
      <c r="B257" s="23"/>
      <c r="C257" s="31"/>
      <c r="D257" s="31"/>
      <c r="E257" s="30" t="str">
        <f aca="false">IF(OR(C257="",D257=""),"",IF(D257&lt;C257,"Check dates",NETWORKDAYS(C257,D257,Setup!$G$9:$G$23)))</f>
        <v/>
      </c>
      <c r="F257" s="23"/>
      <c r="G257" s="23"/>
    </row>
    <row r="258" customFormat="false" ht="15" hidden="false" customHeight="false" outlineLevel="0" collapsed="false">
      <c r="A258" s="23"/>
      <c r="B258" s="23"/>
      <c r="C258" s="31"/>
      <c r="D258" s="31"/>
      <c r="E258" s="30" t="str">
        <f aca="false">IF(OR(C258="",D258=""),"",IF(D258&lt;C258,"Check dates",NETWORKDAYS(C258,D258,Setup!$G$9:$G$23)))</f>
        <v/>
      </c>
      <c r="F258" s="23"/>
      <c r="G258" s="23"/>
    </row>
    <row r="259" customFormat="false" ht="15" hidden="false" customHeight="false" outlineLevel="0" collapsed="false">
      <c r="A259" s="23"/>
      <c r="B259" s="23"/>
      <c r="C259" s="31"/>
      <c r="D259" s="31"/>
      <c r="E259" s="30" t="str">
        <f aca="false">IF(OR(C259="",D259=""),"",IF(D259&lt;C259,"Check dates",NETWORKDAYS(C259,D259,Setup!$G$9:$G$23)))</f>
        <v/>
      </c>
      <c r="F259" s="23"/>
      <c r="G259" s="23"/>
    </row>
    <row r="260" customFormat="false" ht="15" hidden="false" customHeight="false" outlineLevel="0" collapsed="false">
      <c r="A260" s="23"/>
      <c r="B260" s="23"/>
      <c r="C260" s="31"/>
      <c r="D260" s="31"/>
      <c r="E260" s="30" t="str">
        <f aca="false">IF(OR(C260="",D260=""),"",IF(D260&lt;C260,"Check dates",NETWORKDAYS(C260,D260,Setup!$G$9:$G$23)))</f>
        <v/>
      </c>
      <c r="F260" s="23"/>
      <c r="G260" s="23"/>
    </row>
    <row r="261" customFormat="false" ht="15" hidden="false" customHeight="false" outlineLevel="0" collapsed="false">
      <c r="A261" s="23"/>
      <c r="B261" s="23"/>
      <c r="C261" s="31"/>
      <c r="D261" s="31"/>
      <c r="E261" s="30" t="str">
        <f aca="false">IF(OR(C261="",D261=""),"",IF(D261&lt;C261,"Check dates",NETWORKDAYS(C261,D261,Setup!$G$9:$G$23)))</f>
        <v/>
      </c>
      <c r="F261" s="23"/>
      <c r="G261" s="23"/>
    </row>
    <row r="262" customFormat="false" ht="15" hidden="false" customHeight="false" outlineLevel="0" collapsed="false">
      <c r="A262" s="23"/>
      <c r="B262" s="23"/>
      <c r="C262" s="31"/>
      <c r="D262" s="31"/>
      <c r="E262" s="30" t="str">
        <f aca="false">IF(OR(C262="",D262=""),"",IF(D262&lt;C262,"Check dates",NETWORKDAYS(C262,D262,Setup!$G$9:$G$23)))</f>
        <v/>
      </c>
      <c r="F262" s="23"/>
      <c r="G262" s="23"/>
    </row>
    <row r="263" customFormat="false" ht="15" hidden="false" customHeight="false" outlineLevel="0" collapsed="false">
      <c r="A263" s="23"/>
      <c r="B263" s="23"/>
      <c r="C263" s="31"/>
      <c r="D263" s="31"/>
      <c r="E263" s="30" t="str">
        <f aca="false">IF(OR(C263="",D263=""),"",IF(D263&lt;C263,"Check dates",NETWORKDAYS(C263,D263,Setup!$G$9:$G$23)))</f>
        <v/>
      </c>
      <c r="F263" s="23"/>
      <c r="G263" s="23"/>
    </row>
    <row r="264" customFormat="false" ht="15" hidden="false" customHeight="false" outlineLevel="0" collapsed="false">
      <c r="A264" s="23"/>
      <c r="B264" s="23"/>
      <c r="C264" s="31"/>
      <c r="D264" s="31"/>
      <c r="E264" s="30" t="str">
        <f aca="false">IF(OR(C264="",D264=""),"",IF(D264&lt;C264,"Check dates",NETWORKDAYS(C264,D264,Setup!$G$9:$G$23)))</f>
        <v/>
      </c>
      <c r="F264" s="23"/>
      <c r="G264" s="23"/>
    </row>
    <row r="265" customFormat="false" ht="15" hidden="false" customHeight="false" outlineLevel="0" collapsed="false">
      <c r="A265" s="23"/>
      <c r="B265" s="23"/>
      <c r="C265" s="31"/>
      <c r="D265" s="31"/>
      <c r="E265" s="30" t="str">
        <f aca="false">IF(OR(C265="",D265=""),"",IF(D265&lt;C265,"Check dates",NETWORKDAYS(C265,D265,Setup!$G$9:$G$23)))</f>
        <v/>
      </c>
      <c r="F265" s="23"/>
      <c r="G265" s="23"/>
    </row>
    <row r="266" customFormat="false" ht="15" hidden="false" customHeight="false" outlineLevel="0" collapsed="false">
      <c r="A266" s="23"/>
      <c r="B266" s="23"/>
      <c r="C266" s="31"/>
      <c r="D266" s="31"/>
      <c r="E266" s="30" t="str">
        <f aca="false">IF(OR(C266="",D266=""),"",IF(D266&lt;C266,"Check dates",NETWORKDAYS(C266,D266,Setup!$G$9:$G$23)))</f>
        <v/>
      </c>
      <c r="F266" s="23"/>
      <c r="G266" s="23"/>
    </row>
    <row r="267" customFormat="false" ht="15" hidden="false" customHeight="false" outlineLevel="0" collapsed="false">
      <c r="A267" s="23"/>
      <c r="B267" s="23"/>
      <c r="C267" s="31"/>
      <c r="D267" s="31"/>
      <c r="E267" s="30" t="str">
        <f aca="false">IF(OR(C267="",D267=""),"",IF(D267&lt;C267,"Check dates",NETWORKDAYS(C267,D267,Setup!$G$9:$G$23)))</f>
        <v/>
      </c>
      <c r="F267" s="23"/>
      <c r="G267" s="23"/>
    </row>
    <row r="268" customFormat="false" ht="15" hidden="false" customHeight="false" outlineLevel="0" collapsed="false">
      <c r="A268" s="23"/>
      <c r="B268" s="23"/>
      <c r="C268" s="31"/>
      <c r="D268" s="31"/>
      <c r="E268" s="30" t="str">
        <f aca="false">IF(OR(C268="",D268=""),"",IF(D268&lt;C268,"Check dates",NETWORKDAYS(C268,D268,Setup!$G$9:$G$23)))</f>
        <v/>
      </c>
      <c r="F268" s="23"/>
      <c r="G268" s="23"/>
    </row>
    <row r="269" customFormat="false" ht="15" hidden="false" customHeight="false" outlineLevel="0" collapsed="false">
      <c r="A269" s="23"/>
      <c r="B269" s="23"/>
      <c r="C269" s="31"/>
      <c r="D269" s="31"/>
      <c r="E269" s="30" t="str">
        <f aca="false">IF(OR(C269="",D269=""),"",IF(D269&lt;C269,"Check dates",NETWORKDAYS(C269,D269,Setup!$G$9:$G$23)))</f>
        <v/>
      </c>
      <c r="F269" s="23"/>
      <c r="G269" s="23"/>
    </row>
    <row r="270" customFormat="false" ht="15" hidden="false" customHeight="false" outlineLevel="0" collapsed="false">
      <c r="A270" s="23"/>
      <c r="B270" s="23"/>
      <c r="C270" s="31"/>
      <c r="D270" s="31"/>
      <c r="E270" s="30" t="str">
        <f aca="false">IF(OR(C270="",D270=""),"",IF(D270&lt;C270,"Check dates",NETWORKDAYS(C270,D270,Setup!$G$9:$G$23)))</f>
        <v/>
      </c>
      <c r="F270" s="23"/>
      <c r="G270" s="23"/>
    </row>
    <row r="271" customFormat="false" ht="15" hidden="false" customHeight="false" outlineLevel="0" collapsed="false">
      <c r="A271" s="23"/>
      <c r="B271" s="23"/>
      <c r="C271" s="31"/>
      <c r="D271" s="31"/>
      <c r="E271" s="30" t="str">
        <f aca="false">IF(OR(C271="",D271=""),"",IF(D271&lt;C271,"Check dates",NETWORKDAYS(C271,D271,Setup!$G$9:$G$23)))</f>
        <v/>
      </c>
      <c r="F271" s="23"/>
      <c r="G271" s="23"/>
    </row>
    <row r="272" customFormat="false" ht="15" hidden="false" customHeight="false" outlineLevel="0" collapsed="false">
      <c r="A272" s="23"/>
      <c r="B272" s="23"/>
      <c r="C272" s="31"/>
      <c r="D272" s="31"/>
      <c r="E272" s="30" t="str">
        <f aca="false">IF(OR(C272="",D272=""),"",IF(D272&lt;C272,"Check dates",NETWORKDAYS(C272,D272,Setup!$G$9:$G$23)))</f>
        <v/>
      </c>
      <c r="F272" s="23"/>
      <c r="G272" s="23"/>
    </row>
    <row r="273" customFormat="false" ht="15" hidden="false" customHeight="false" outlineLevel="0" collapsed="false">
      <c r="A273" s="23"/>
      <c r="B273" s="23"/>
      <c r="C273" s="31"/>
      <c r="D273" s="31"/>
      <c r="E273" s="30" t="str">
        <f aca="false">IF(OR(C273="",D273=""),"",IF(D273&lt;C273,"Check dates",NETWORKDAYS(C273,D273,Setup!$G$9:$G$23)))</f>
        <v/>
      </c>
      <c r="F273" s="23"/>
      <c r="G273" s="23"/>
    </row>
    <row r="274" customFormat="false" ht="15" hidden="false" customHeight="false" outlineLevel="0" collapsed="false">
      <c r="A274" s="23"/>
      <c r="B274" s="23"/>
      <c r="C274" s="31"/>
      <c r="D274" s="31"/>
      <c r="E274" s="30" t="str">
        <f aca="false">IF(OR(C274="",D274=""),"",IF(D274&lt;C274,"Check dates",NETWORKDAYS(C274,D274,Setup!$G$9:$G$23)))</f>
        <v/>
      </c>
      <c r="F274" s="23"/>
      <c r="G274" s="23"/>
    </row>
    <row r="275" customFormat="false" ht="15" hidden="false" customHeight="false" outlineLevel="0" collapsed="false">
      <c r="A275" s="23"/>
      <c r="B275" s="23"/>
      <c r="C275" s="31"/>
      <c r="D275" s="31"/>
      <c r="E275" s="30" t="str">
        <f aca="false">IF(OR(C275="",D275=""),"",IF(D275&lt;C275,"Check dates",NETWORKDAYS(C275,D275,Setup!$G$9:$G$23)))</f>
        <v/>
      </c>
      <c r="F275" s="23"/>
      <c r="G275" s="23"/>
    </row>
    <row r="276" customFormat="false" ht="15" hidden="false" customHeight="false" outlineLevel="0" collapsed="false">
      <c r="A276" s="23"/>
      <c r="B276" s="23"/>
      <c r="C276" s="31"/>
      <c r="D276" s="31"/>
      <c r="E276" s="30" t="str">
        <f aca="false">IF(OR(C276="",D276=""),"",IF(D276&lt;C276,"Check dates",NETWORKDAYS(C276,D276,Setup!$G$9:$G$23)))</f>
        <v/>
      </c>
      <c r="F276" s="23"/>
      <c r="G276" s="23"/>
    </row>
    <row r="277" customFormat="false" ht="15" hidden="false" customHeight="false" outlineLevel="0" collapsed="false">
      <c r="A277" s="23"/>
      <c r="B277" s="23"/>
      <c r="C277" s="31"/>
      <c r="D277" s="31"/>
      <c r="E277" s="30" t="str">
        <f aca="false">IF(OR(C277="",D277=""),"",IF(D277&lt;C277,"Check dates",NETWORKDAYS(C277,D277,Setup!$G$9:$G$23)))</f>
        <v/>
      </c>
      <c r="F277" s="23"/>
      <c r="G277" s="23"/>
    </row>
    <row r="278" customFormat="false" ht="15" hidden="false" customHeight="false" outlineLevel="0" collapsed="false">
      <c r="A278" s="23"/>
      <c r="B278" s="23"/>
      <c r="C278" s="31"/>
      <c r="D278" s="31"/>
      <c r="E278" s="30" t="str">
        <f aca="false">IF(OR(C278="",D278=""),"",IF(D278&lt;C278,"Check dates",NETWORKDAYS(C278,D278,Setup!$G$9:$G$23)))</f>
        <v/>
      </c>
      <c r="F278" s="23"/>
      <c r="G278" s="23"/>
    </row>
    <row r="279" customFormat="false" ht="15" hidden="false" customHeight="false" outlineLevel="0" collapsed="false">
      <c r="A279" s="23"/>
      <c r="B279" s="23"/>
      <c r="C279" s="31"/>
      <c r="D279" s="31"/>
      <c r="E279" s="30" t="str">
        <f aca="false">IF(OR(C279="",D279=""),"",IF(D279&lt;C279,"Check dates",NETWORKDAYS(C279,D279,Setup!$G$9:$G$23)))</f>
        <v/>
      </c>
      <c r="F279" s="23"/>
      <c r="G279" s="23"/>
    </row>
    <row r="280" customFormat="false" ht="15" hidden="false" customHeight="false" outlineLevel="0" collapsed="false">
      <c r="A280" s="23"/>
      <c r="B280" s="23"/>
      <c r="C280" s="31"/>
      <c r="D280" s="31"/>
      <c r="E280" s="30" t="str">
        <f aca="false">IF(OR(C280="",D280=""),"",IF(D280&lt;C280,"Check dates",NETWORKDAYS(C280,D280,Setup!$G$9:$G$23)))</f>
        <v/>
      </c>
      <c r="F280" s="23"/>
      <c r="G280" s="23"/>
    </row>
    <row r="281" customFormat="false" ht="15" hidden="false" customHeight="false" outlineLevel="0" collapsed="false">
      <c r="A281" s="23"/>
      <c r="B281" s="23"/>
      <c r="C281" s="31"/>
      <c r="D281" s="31"/>
      <c r="E281" s="30" t="str">
        <f aca="false">IF(OR(C281="",D281=""),"",IF(D281&lt;C281,"Check dates",NETWORKDAYS(C281,D281,Setup!$G$9:$G$23)))</f>
        <v/>
      </c>
      <c r="F281" s="23"/>
      <c r="G281" s="23"/>
    </row>
    <row r="282" customFormat="false" ht="15" hidden="false" customHeight="false" outlineLevel="0" collapsed="false">
      <c r="A282" s="23"/>
      <c r="B282" s="23"/>
      <c r="C282" s="31"/>
      <c r="D282" s="31"/>
      <c r="E282" s="30" t="str">
        <f aca="false">IF(OR(C282="",D282=""),"",IF(D282&lt;C282,"Check dates",NETWORKDAYS(C282,D282,Setup!$G$9:$G$23)))</f>
        <v/>
      </c>
      <c r="F282" s="23"/>
      <c r="G282" s="23"/>
    </row>
    <row r="283" customFormat="false" ht="15" hidden="false" customHeight="false" outlineLevel="0" collapsed="false">
      <c r="A283" s="23"/>
      <c r="B283" s="23"/>
      <c r="C283" s="31"/>
      <c r="D283" s="31"/>
      <c r="E283" s="30" t="str">
        <f aca="false">IF(OR(C283="",D283=""),"",IF(D283&lt;C283,"Check dates",NETWORKDAYS(C283,D283,Setup!$G$9:$G$23)))</f>
        <v/>
      </c>
      <c r="F283" s="23"/>
      <c r="G283" s="23"/>
    </row>
    <row r="284" customFormat="false" ht="15" hidden="false" customHeight="false" outlineLevel="0" collapsed="false">
      <c r="A284" s="23"/>
      <c r="B284" s="23"/>
      <c r="C284" s="31"/>
      <c r="D284" s="31"/>
      <c r="E284" s="30" t="str">
        <f aca="false">IF(OR(C284="",D284=""),"",IF(D284&lt;C284,"Check dates",NETWORKDAYS(C284,D284,Setup!$G$9:$G$23)))</f>
        <v/>
      </c>
      <c r="F284" s="23"/>
      <c r="G284" s="23"/>
    </row>
    <row r="285" customFormat="false" ht="15" hidden="false" customHeight="false" outlineLevel="0" collapsed="false">
      <c r="A285" s="23"/>
      <c r="B285" s="23"/>
      <c r="C285" s="31"/>
      <c r="D285" s="31"/>
      <c r="E285" s="30" t="str">
        <f aca="false">IF(OR(C285="",D285=""),"",IF(D285&lt;C285,"Check dates",NETWORKDAYS(C285,D285,Setup!$G$9:$G$23)))</f>
        <v/>
      </c>
      <c r="F285" s="23"/>
      <c r="G285" s="23"/>
    </row>
    <row r="286" customFormat="false" ht="15" hidden="false" customHeight="false" outlineLevel="0" collapsed="false">
      <c r="A286" s="23"/>
      <c r="B286" s="23"/>
      <c r="C286" s="31"/>
      <c r="D286" s="31"/>
      <c r="E286" s="30" t="str">
        <f aca="false">IF(OR(C286="",D286=""),"",IF(D286&lt;C286,"Check dates",NETWORKDAYS(C286,D286,Setup!$G$9:$G$23)))</f>
        <v/>
      </c>
      <c r="F286" s="23"/>
      <c r="G286" s="23"/>
    </row>
    <row r="287" customFormat="false" ht="15" hidden="false" customHeight="false" outlineLevel="0" collapsed="false">
      <c r="A287" s="23"/>
      <c r="B287" s="23"/>
      <c r="C287" s="31"/>
      <c r="D287" s="31"/>
      <c r="E287" s="30" t="str">
        <f aca="false">IF(OR(C287="",D287=""),"",IF(D287&lt;C287,"Check dates",NETWORKDAYS(C287,D287,Setup!$G$9:$G$23)))</f>
        <v/>
      </c>
      <c r="F287" s="23"/>
      <c r="G287" s="23"/>
    </row>
    <row r="288" customFormat="false" ht="15" hidden="false" customHeight="false" outlineLevel="0" collapsed="false">
      <c r="A288" s="23"/>
      <c r="B288" s="23"/>
      <c r="C288" s="31"/>
      <c r="D288" s="31"/>
      <c r="E288" s="30" t="str">
        <f aca="false">IF(OR(C288="",D288=""),"",IF(D288&lt;C288,"Check dates",NETWORKDAYS(C288,D288,Setup!$G$9:$G$23)))</f>
        <v/>
      </c>
      <c r="F288" s="23"/>
      <c r="G288" s="23"/>
    </row>
    <row r="289" customFormat="false" ht="15" hidden="false" customHeight="false" outlineLevel="0" collapsed="false">
      <c r="A289" s="23"/>
      <c r="B289" s="23"/>
      <c r="C289" s="31"/>
      <c r="D289" s="31"/>
      <c r="E289" s="30" t="str">
        <f aca="false">IF(OR(C289="",D289=""),"",IF(D289&lt;C289,"Check dates",NETWORKDAYS(C289,D289,Setup!$G$9:$G$23)))</f>
        <v/>
      </c>
      <c r="F289" s="23"/>
      <c r="G289" s="23"/>
    </row>
    <row r="290" customFormat="false" ht="15" hidden="false" customHeight="false" outlineLevel="0" collapsed="false">
      <c r="A290" s="23"/>
      <c r="B290" s="23"/>
      <c r="C290" s="31"/>
      <c r="D290" s="31"/>
      <c r="E290" s="30" t="str">
        <f aca="false">IF(OR(C290="",D290=""),"",IF(D290&lt;C290,"Check dates",NETWORKDAYS(C290,D290,Setup!$G$9:$G$23)))</f>
        <v/>
      </c>
      <c r="F290" s="23"/>
      <c r="G290" s="23"/>
    </row>
    <row r="291" customFormat="false" ht="15" hidden="false" customHeight="false" outlineLevel="0" collapsed="false">
      <c r="A291" s="23"/>
      <c r="B291" s="23"/>
      <c r="C291" s="31"/>
      <c r="D291" s="31"/>
      <c r="E291" s="30" t="str">
        <f aca="false">IF(OR(C291="",D291=""),"",IF(D291&lt;C291,"Check dates",NETWORKDAYS(C291,D291,Setup!$G$9:$G$23)))</f>
        <v/>
      </c>
      <c r="F291" s="23"/>
      <c r="G291" s="23"/>
    </row>
    <row r="292" customFormat="false" ht="15" hidden="false" customHeight="false" outlineLevel="0" collapsed="false">
      <c r="A292" s="23"/>
      <c r="B292" s="23"/>
      <c r="C292" s="31"/>
      <c r="D292" s="31"/>
      <c r="E292" s="30" t="str">
        <f aca="false">IF(OR(C292="",D292=""),"",IF(D292&lt;C292,"Check dates",NETWORKDAYS(C292,D292,Setup!$G$9:$G$23)))</f>
        <v/>
      </c>
      <c r="F292" s="23"/>
      <c r="G292" s="23"/>
    </row>
    <row r="293" customFormat="false" ht="15" hidden="false" customHeight="false" outlineLevel="0" collapsed="false">
      <c r="A293" s="23"/>
      <c r="B293" s="23"/>
      <c r="C293" s="31"/>
      <c r="D293" s="31"/>
      <c r="E293" s="30" t="str">
        <f aca="false">IF(OR(C293="",D293=""),"",IF(D293&lt;C293,"Check dates",NETWORKDAYS(C293,D293,Setup!$G$9:$G$23)))</f>
        <v/>
      </c>
      <c r="F293" s="23"/>
      <c r="G293" s="23"/>
    </row>
    <row r="294" customFormat="false" ht="15" hidden="false" customHeight="false" outlineLevel="0" collapsed="false">
      <c r="A294" s="23"/>
      <c r="B294" s="23"/>
      <c r="C294" s="31"/>
      <c r="D294" s="31"/>
      <c r="E294" s="30" t="str">
        <f aca="false">IF(OR(C294="",D294=""),"",IF(D294&lt;C294,"Check dates",NETWORKDAYS(C294,D294,Setup!$G$9:$G$23)))</f>
        <v/>
      </c>
      <c r="F294" s="23"/>
      <c r="G294" s="23"/>
    </row>
    <row r="295" customFormat="false" ht="15" hidden="false" customHeight="false" outlineLevel="0" collapsed="false">
      <c r="A295" s="23"/>
      <c r="B295" s="23"/>
      <c r="C295" s="31"/>
      <c r="D295" s="31"/>
      <c r="E295" s="30" t="str">
        <f aca="false">IF(OR(C295="",D295=""),"",IF(D295&lt;C295,"Check dates",NETWORKDAYS(C295,D295,Setup!$G$9:$G$23)))</f>
        <v/>
      </c>
      <c r="F295" s="23"/>
      <c r="G295" s="23"/>
    </row>
    <row r="296" customFormat="false" ht="15" hidden="false" customHeight="false" outlineLevel="0" collapsed="false">
      <c r="A296" s="23"/>
      <c r="B296" s="23"/>
      <c r="C296" s="31"/>
      <c r="D296" s="31"/>
      <c r="E296" s="30" t="str">
        <f aca="false">IF(OR(C296="",D296=""),"",IF(D296&lt;C296,"Check dates",NETWORKDAYS(C296,D296,Setup!$G$9:$G$23)))</f>
        <v/>
      </c>
      <c r="F296" s="23"/>
      <c r="G296" s="23"/>
    </row>
    <row r="297" customFormat="false" ht="15" hidden="false" customHeight="false" outlineLevel="0" collapsed="false">
      <c r="A297" s="23"/>
      <c r="B297" s="23"/>
      <c r="C297" s="31"/>
      <c r="D297" s="31"/>
      <c r="E297" s="30" t="str">
        <f aca="false">IF(OR(C297="",D297=""),"",IF(D297&lt;C297,"Check dates",NETWORKDAYS(C297,D297,Setup!$G$9:$G$23)))</f>
        <v/>
      </c>
      <c r="F297" s="23"/>
      <c r="G297" s="23"/>
    </row>
    <row r="298" customFormat="false" ht="15" hidden="false" customHeight="false" outlineLevel="0" collapsed="false">
      <c r="A298" s="23"/>
      <c r="B298" s="23"/>
      <c r="C298" s="31"/>
      <c r="D298" s="31"/>
      <c r="E298" s="30" t="str">
        <f aca="false">IF(OR(C298="",D298=""),"",IF(D298&lt;C298,"Check dates",NETWORKDAYS(C298,D298,Setup!$G$9:$G$23)))</f>
        <v/>
      </c>
      <c r="F298" s="23"/>
      <c r="G298" s="23"/>
    </row>
    <row r="299" customFormat="false" ht="15" hidden="false" customHeight="false" outlineLevel="0" collapsed="false">
      <c r="A299" s="23"/>
      <c r="B299" s="23"/>
      <c r="C299" s="31"/>
      <c r="D299" s="31"/>
      <c r="E299" s="30" t="str">
        <f aca="false">IF(OR(C299="",D299=""),"",IF(D299&lt;C299,"Check dates",NETWORKDAYS(C299,D299,Setup!$G$9:$G$23)))</f>
        <v/>
      </c>
      <c r="F299" s="23"/>
      <c r="G299" s="23"/>
    </row>
    <row r="300" customFormat="false" ht="15" hidden="false" customHeight="false" outlineLevel="0" collapsed="false">
      <c r="A300" s="23"/>
      <c r="B300" s="23"/>
      <c r="C300" s="31"/>
      <c r="D300" s="31"/>
      <c r="E300" s="30" t="str">
        <f aca="false">IF(OR(C300="",D300=""),"",IF(D300&lt;C300,"Check dates",NETWORKDAYS(C300,D300,Setup!$G$9:$G$23)))</f>
        <v/>
      </c>
      <c r="F300" s="23"/>
      <c r="G300" s="23"/>
    </row>
    <row r="301" customFormat="false" ht="15" hidden="false" customHeight="false" outlineLevel="0" collapsed="false">
      <c r="A301" s="23"/>
      <c r="B301" s="23"/>
      <c r="C301" s="31"/>
      <c r="D301" s="31"/>
      <c r="E301" s="30" t="str">
        <f aca="false">IF(OR(C301="",D301=""),"",IF(D301&lt;C301,"Check dates",NETWORKDAYS(C301,D301,Setup!$G$9:$G$23)))</f>
        <v/>
      </c>
      <c r="F301" s="23"/>
      <c r="G301" s="23"/>
    </row>
    <row r="302" customFormat="false" ht="15" hidden="false" customHeight="false" outlineLevel="0" collapsed="false">
      <c r="A302" s="23"/>
      <c r="B302" s="23"/>
      <c r="C302" s="31"/>
      <c r="D302" s="31"/>
      <c r="E302" s="30" t="str">
        <f aca="false">IF(OR(C302="",D302=""),"",IF(D302&lt;C302,"Check dates",NETWORKDAYS(C302,D302,Setup!$G$9:$G$23)))</f>
        <v/>
      </c>
      <c r="F302" s="23"/>
      <c r="G302" s="23"/>
    </row>
    <row r="303" customFormat="false" ht="15" hidden="false" customHeight="false" outlineLevel="0" collapsed="false">
      <c r="A303" s="23"/>
      <c r="B303" s="23"/>
      <c r="C303" s="31"/>
      <c r="D303" s="31"/>
      <c r="E303" s="30" t="str">
        <f aca="false">IF(OR(C303="",D303=""),"",IF(D303&lt;C303,"Check dates",NETWORKDAYS(C303,D303,Setup!$G$9:$G$23)))</f>
        <v/>
      </c>
      <c r="F303" s="23"/>
      <c r="G303" s="23"/>
    </row>
    <row r="304" customFormat="false" ht="15" hidden="false" customHeight="false" outlineLevel="0" collapsed="false">
      <c r="A304" s="23"/>
      <c r="B304" s="23"/>
      <c r="C304" s="31"/>
      <c r="D304" s="31"/>
      <c r="E304" s="30" t="str">
        <f aca="false">IF(OR(C304="",D304=""),"",IF(D304&lt;C304,"Check dates",NETWORKDAYS(C304,D304,Setup!$G$9:$G$23)))</f>
        <v/>
      </c>
      <c r="F304" s="23"/>
      <c r="G304" s="23"/>
    </row>
  </sheetData>
  <conditionalFormatting sqref="E5:E304">
    <cfRule type="cellIs" priority="2" operator="equal" aboveAverage="0" equalAverage="0" bottom="0" percent="0" rank="0" text="" dxfId="7">
      <formula>"Check dates"</formula>
    </cfRule>
  </conditionalFormatting>
  <conditionalFormatting sqref="F5:F304">
    <cfRule type="cellIs" priority="3" operator="equal" aboveAverage="0" equalAverage="0" bottom="0" percent="0" rank="0" text="" dxfId="8">
      <formula>"Rejected"</formula>
    </cfRule>
    <cfRule type="cellIs" priority="4" operator="equal" aboveAverage="0" equalAverage="0" bottom="0" percent="0" rank="0" text="" dxfId="9">
      <formula>"Pending"</formula>
    </cfRule>
  </conditionalFormatting>
  <dataValidations count="4">
    <dataValidation allowBlank="true" errorStyle="stop" operator="between" showDropDown="false" showErrorMessage="false" showInputMessage="false" sqref="A5:A304" type="list">
      <formula1>Employees!$B$5:$B$24</formula1>
      <formula2>0</formula2>
    </dataValidation>
    <dataValidation allowBlank="true" errorStyle="stop" operator="between" showDropDown="false" showErrorMessage="false" showInputMessage="false" sqref="B5:B304" type="list">
      <formula1>Setup!$A$9:$A$13</formula1>
      <formula2>0</formula2>
    </dataValidation>
    <dataValidation allowBlank="true" errorStyle="stop" operator="between" showDropDown="false" showErrorMessage="false" showInputMessage="false" sqref="F5:F304" type="list">
      <formula1>"Approved,Pending,Rejected"</formula1>
      <formula2>0</formula2>
    </dataValidation>
    <dataValidation allowBlank="true" error="Enter a valid date" errorStyle="stop" operator="greaterThan" showDropDown="false" showErrorMessage="false" showInputMessage="false" sqref="C5:D3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7" min="4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43.5" hidden="false" customHeight="true" outlineLevel="0" collapsed="false">
      <c r="A4" s="9" t="s">
        <v>4</v>
      </c>
      <c r="B4" s="9" t="s">
        <v>57</v>
      </c>
      <c r="C4" s="9" t="s">
        <v>100</v>
      </c>
      <c r="D4" s="9" t="s">
        <v>101</v>
      </c>
      <c r="E4" s="9" t="s">
        <v>102</v>
      </c>
      <c r="F4" s="9" t="s">
        <v>103</v>
      </c>
      <c r="G4" s="9" t="s">
        <v>104</v>
      </c>
      <c r="H4" s="9" t="s">
        <v>105</v>
      </c>
      <c r="I4" s="9" t="s">
        <v>106</v>
      </c>
      <c r="J4" s="9" t="s">
        <v>107</v>
      </c>
      <c r="K4" s="9" t="s">
        <v>108</v>
      </c>
    </row>
    <row r="5" customFormat="false" ht="15" hidden="false" customHeight="false" outlineLevel="0" collapsed="false">
      <c r="A5" s="30" t="str">
        <f aca="false">IF(Employees!B5="","",Employees!B5)</f>
        <v>Amina Yusuf</v>
      </c>
      <c r="B5" s="30" t="str">
        <f aca="false">IF(A5="","",Employees!C5)</f>
        <v>Operations</v>
      </c>
      <c r="C5" s="30" t="n">
        <f aca="false">IF(A5="","",Employees!F5)</f>
        <v>24</v>
      </c>
      <c r="D5" s="30" t="n">
        <f aca="false">IF($A5="","",SUMIFS('Leave Log'!$E$5:$E$304,'Leave Log'!$A$5:$A$304,$A5,'Leave Log'!$B$5:$B$304,"AL",'Leave Log'!$F$5:$F$304,"Approved"))</f>
        <v>5</v>
      </c>
      <c r="E5" s="30" t="n">
        <f aca="false">IF($A5="","",SUMIFS('Leave Log'!$E$5:$E$304,'Leave Log'!$A$5:$A$304,$A5,'Leave Log'!$B$5:$B$304,"SL",'Leave Log'!$F$5:$F$304,"Approved"))</f>
        <v>0</v>
      </c>
      <c r="F5" s="30" t="n">
        <f aca="false">IF($A5="","",SUMIFS('Leave Log'!$E$5:$E$304,'Leave Log'!$A$5:$A$304,$A5,'Leave Log'!$B$5:$B$304,"CL",'Leave Log'!$F$5:$F$304,"Approved"))</f>
        <v>0</v>
      </c>
      <c r="G5" s="30" t="n">
        <f aca="false">IF($A5="","",SUMIFS('Leave Log'!$E$5:$E$304,'Leave Log'!$A$5:$A$304,$A5,'Leave Log'!$B$5:$B$304,"UL",'Leave Log'!$F$5:$F$304,"Approved"))</f>
        <v>0</v>
      </c>
      <c r="H5" s="30" t="n">
        <f aca="false">IF($A5="","",SUMIFS('Leave Log'!$E$5:$E$304,'Leave Log'!$A$5:$A$304,$A5,'Leave Log'!$B$5:$B$304,"OT",'Leave Log'!$F$5:$F$304,"Approved"))</f>
        <v>0</v>
      </c>
      <c r="I5" s="30" t="n">
        <f aca="false">IF(A5="","",SUMIFS('Leave Log'!$E$5:$E$304,'Leave Log'!$A$5:$A$304,$A5,'Leave Log'!$B$5:$B$304,"AL",'Leave Log'!$F$5:$F$304,"Pending"))</f>
        <v>0</v>
      </c>
      <c r="J5" s="30" t="n">
        <f aca="false">IF(A5="","",C5-D5)</f>
        <v>19</v>
      </c>
      <c r="K5" s="32" t="n">
        <f aca="false">IF(OR(A5="",C5=0),"",D5/C5)</f>
        <v>0.208333333333333</v>
      </c>
    </row>
    <row r="6" customFormat="false" ht="15" hidden="false" customHeight="false" outlineLevel="0" collapsed="false">
      <c r="A6" s="30" t="str">
        <f aca="false">IF(Employees!B6="","",Employees!B6)</f>
        <v>Brian Okafor</v>
      </c>
      <c r="B6" s="30" t="str">
        <f aca="false">IF(A6="","",Employees!C6)</f>
        <v>Operations</v>
      </c>
      <c r="C6" s="30" t="n">
        <f aca="false">IF(A6="","",Employees!F6)</f>
        <v>21</v>
      </c>
      <c r="D6" s="30" t="n">
        <f aca="false">IF($A6="","",SUMIFS('Leave Log'!$E$5:$E$304,'Leave Log'!$A$5:$A$304,$A6,'Leave Log'!$B$5:$B$304,"AL",'Leave Log'!$F$5:$F$304,"Approved"))</f>
        <v>0</v>
      </c>
      <c r="E6" s="30" t="n">
        <f aca="false">IF($A6="","",SUMIFS('Leave Log'!$E$5:$E$304,'Leave Log'!$A$5:$A$304,$A6,'Leave Log'!$B$5:$B$304,"SL",'Leave Log'!$F$5:$F$304,"Approved"))</f>
        <v>2</v>
      </c>
      <c r="F6" s="30" t="n">
        <f aca="false">IF($A6="","",SUMIFS('Leave Log'!$E$5:$E$304,'Leave Log'!$A$5:$A$304,$A6,'Leave Log'!$B$5:$B$304,"CL",'Leave Log'!$F$5:$F$304,"Approved"))</f>
        <v>0</v>
      </c>
      <c r="G6" s="30" t="n">
        <f aca="false">IF($A6="","",SUMIFS('Leave Log'!$E$5:$E$304,'Leave Log'!$A$5:$A$304,$A6,'Leave Log'!$B$5:$B$304,"UL",'Leave Log'!$F$5:$F$304,"Approved"))</f>
        <v>0</v>
      </c>
      <c r="H6" s="30" t="n">
        <f aca="false">IF($A6="","",SUMIFS('Leave Log'!$E$5:$E$304,'Leave Log'!$A$5:$A$304,$A6,'Leave Log'!$B$5:$B$304,"OT",'Leave Log'!$F$5:$F$304,"Approved"))</f>
        <v>0</v>
      </c>
      <c r="I6" s="30" t="n">
        <f aca="false">IF(A6="","",SUMIFS('Leave Log'!$E$5:$E$304,'Leave Log'!$A$5:$A$304,$A6,'Leave Log'!$B$5:$B$304,"AL",'Leave Log'!$F$5:$F$304,"Pending"))</f>
        <v>0</v>
      </c>
      <c r="J6" s="30" t="n">
        <f aca="false">IF(A6="","",C6-D6)</f>
        <v>21</v>
      </c>
      <c r="K6" s="32" t="n">
        <f aca="false">IF(OR(A6="",C6=0),"",D6/C6)</f>
        <v>0</v>
      </c>
    </row>
    <row r="7" customFormat="false" ht="15" hidden="false" customHeight="false" outlineLevel="0" collapsed="false">
      <c r="A7" s="30" t="str">
        <f aca="false">IF(Employees!B7="","",Employees!B7)</f>
        <v>Chloe Martin</v>
      </c>
      <c r="B7" s="30" t="str">
        <f aca="false">IF(A7="","",Employees!C7)</f>
        <v>Finance</v>
      </c>
      <c r="C7" s="30" t="n">
        <f aca="false">IF(A7="","",Employees!F7)</f>
        <v>26</v>
      </c>
      <c r="D7" s="30" t="n">
        <f aca="false">IF($A7="","",SUMIFS('Leave Log'!$E$5:$E$304,'Leave Log'!$A$5:$A$304,$A7,'Leave Log'!$B$5:$B$304,"AL",'Leave Log'!$F$5:$F$304,"Approved"))</f>
        <v>0</v>
      </c>
      <c r="E7" s="30" t="n">
        <f aca="false">IF($A7="","",SUMIFS('Leave Log'!$E$5:$E$304,'Leave Log'!$A$5:$A$304,$A7,'Leave Log'!$B$5:$B$304,"SL",'Leave Log'!$F$5:$F$304,"Approved"))</f>
        <v>0</v>
      </c>
      <c r="F7" s="30" t="n">
        <f aca="false">IF($A7="","",SUMIFS('Leave Log'!$E$5:$E$304,'Leave Log'!$A$5:$A$304,$A7,'Leave Log'!$B$5:$B$304,"CL",'Leave Log'!$F$5:$F$304,"Approved"))</f>
        <v>0</v>
      </c>
      <c r="G7" s="30" t="n">
        <f aca="false">IF($A7="","",SUMIFS('Leave Log'!$E$5:$E$304,'Leave Log'!$A$5:$A$304,$A7,'Leave Log'!$B$5:$B$304,"UL",'Leave Log'!$F$5:$F$304,"Approved"))</f>
        <v>0</v>
      </c>
      <c r="H7" s="30" t="n">
        <f aca="false">IF($A7="","",SUMIFS('Leave Log'!$E$5:$E$304,'Leave Log'!$A$5:$A$304,$A7,'Leave Log'!$B$5:$B$304,"OT",'Leave Log'!$F$5:$F$304,"Approved"))</f>
        <v>0</v>
      </c>
      <c r="I7" s="30" t="n">
        <f aca="false">IF(A7="","",SUMIFS('Leave Log'!$E$5:$E$304,'Leave Log'!$A$5:$A$304,$A7,'Leave Log'!$B$5:$B$304,"AL",'Leave Log'!$F$5:$F$304,"Pending"))</f>
        <v>6</v>
      </c>
      <c r="J7" s="30" t="n">
        <f aca="false">IF(A7="","",C7-D7)</f>
        <v>26</v>
      </c>
      <c r="K7" s="32" t="n">
        <f aca="false">IF(OR(A7="",C7=0),"",D7/C7)</f>
        <v>0</v>
      </c>
    </row>
    <row r="8" customFormat="false" ht="15" hidden="false" customHeight="false" outlineLevel="0" collapsed="false">
      <c r="A8" s="30" t="str">
        <f aca="false">IF(Employees!B8="","",Employees!B8)</f>
        <v>David Chen</v>
      </c>
      <c r="B8" s="30" t="str">
        <f aca="false">IF(A8="","",Employees!C8)</f>
        <v>Finance</v>
      </c>
      <c r="C8" s="30" t="n">
        <f aca="false">IF(A8="","",Employees!F8)</f>
        <v>26</v>
      </c>
      <c r="D8" s="30" t="n">
        <f aca="false">IF($A8="","",SUMIFS('Leave Log'!$E$5:$E$304,'Leave Log'!$A$5:$A$304,$A8,'Leave Log'!$B$5:$B$304,"AL",'Leave Log'!$F$5:$F$304,"Approved"))</f>
        <v>0</v>
      </c>
      <c r="E8" s="30" t="n">
        <f aca="false">IF($A8="","",SUMIFS('Leave Log'!$E$5:$E$304,'Leave Log'!$A$5:$A$304,$A8,'Leave Log'!$B$5:$B$304,"SL",'Leave Log'!$F$5:$F$304,"Approved"))</f>
        <v>0</v>
      </c>
      <c r="F8" s="30" t="n">
        <f aca="false">IF($A8="","",SUMIFS('Leave Log'!$E$5:$E$304,'Leave Log'!$A$5:$A$304,$A8,'Leave Log'!$B$5:$B$304,"CL",'Leave Log'!$F$5:$F$304,"Approved"))</f>
        <v>1</v>
      </c>
      <c r="G8" s="30" t="n">
        <f aca="false">IF($A8="","",SUMIFS('Leave Log'!$E$5:$E$304,'Leave Log'!$A$5:$A$304,$A8,'Leave Log'!$B$5:$B$304,"UL",'Leave Log'!$F$5:$F$304,"Approved"))</f>
        <v>0</v>
      </c>
      <c r="H8" s="30" t="n">
        <f aca="false">IF($A8="","",SUMIFS('Leave Log'!$E$5:$E$304,'Leave Log'!$A$5:$A$304,$A8,'Leave Log'!$B$5:$B$304,"OT",'Leave Log'!$F$5:$F$304,"Approved"))</f>
        <v>0</v>
      </c>
      <c r="I8" s="30" t="n">
        <f aca="false">IF(A8="","",SUMIFS('Leave Log'!$E$5:$E$304,'Leave Log'!$A$5:$A$304,$A8,'Leave Log'!$B$5:$B$304,"AL",'Leave Log'!$F$5:$F$304,"Pending"))</f>
        <v>0</v>
      </c>
      <c r="J8" s="30" t="n">
        <f aca="false">IF(A8="","",C8-D8)</f>
        <v>26</v>
      </c>
      <c r="K8" s="32" t="n">
        <f aca="false">IF(OR(A8="",C8=0),"",D8/C8)</f>
        <v>0</v>
      </c>
    </row>
    <row r="9" customFormat="false" ht="15" hidden="false" customHeight="false" outlineLevel="0" collapsed="false">
      <c r="A9" s="30" t="str">
        <f aca="false">IF(Employees!B9="","",Employees!B9)</f>
        <v>Esther Mensah</v>
      </c>
      <c r="B9" s="30" t="str">
        <f aca="false">IF(A9="","",Employees!C9)</f>
        <v>HR</v>
      </c>
      <c r="C9" s="30" t="n">
        <f aca="false">IF(A9="","",Employees!F9)</f>
        <v>24</v>
      </c>
      <c r="D9" s="30" t="n">
        <f aca="false">IF($A9="","",SUMIFS('Leave Log'!$E$5:$E$304,'Leave Log'!$A$5:$A$304,$A9,'Leave Log'!$B$5:$B$304,"AL",'Leave Log'!$F$5:$F$304,"Approved"))</f>
        <v>0</v>
      </c>
      <c r="E9" s="30" t="n">
        <f aca="false">IF($A9="","",SUMIFS('Leave Log'!$E$5:$E$304,'Leave Log'!$A$5:$A$304,$A9,'Leave Log'!$B$5:$B$304,"SL",'Leave Log'!$F$5:$F$304,"Approved"))</f>
        <v>0</v>
      </c>
      <c r="F9" s="30" t="n">
        <f aca="false">IF($A9="","",SUMIFS('Leave Log'!$E$5:$E$304,'Leave Log'!$A$5:$A$304,$A9,'Leave Log'!$B$5:$B$304,"CL",'Leave Log'!$F$5:$F$304,"Approved"))</f>
        <v>0</v>
      </c>
      <c r="G9" s="30" t="n">
        <f aca="false">IF($A9="","",SUMIFS('Leave Log'!$E$5:$E$304,'Leave Log'!$A$5:$A$304,$A9,'Leave Log'!$B$5:$B$304,"UL",'Leave Log'!$F$5:$F$304,"Approved"))</f>
        <v>0</v>
      </c>
      <c r="H9" s="30" t="n">
        <f aca="false">IF($A9="","",SUMIFS('Leave Log'!$E$5:$E$304,'Leave Log'!$A$5:$A$304,$A9,'Leave Log'!$B$5:$B$304,"OT",'Leave Log'!$F$5:$F$304,"Approved"))</f>
        <v>2</v>
      </c>
      <c r="I9" s="30" t="n">
        <f aca="false">IF(A9="","",SUMIFS('Leave Log'!$E$5:$E$304,'Leave Log'!$A$5:$A$304,$A9,'Leave Log'!$B$5:$B$304,"AL",'Leave Log'!$F$5:$F$304,"Pending"))</f>
        <v>0</v>
      </c>
      <c r="J9" s="30" t="n">
        <f aca="false">IF(A9="","",C9-D9)</f>
        <v>24</v>
      </c>
      <c r="K9" s="32" t="n">
        <f aca="false">IF(OR(A9="",C9=0),"",D9/C9)</f>
        <v>0</v>
      </c>
    </row>
    <row r="10" customFormat="false" ht="15" hidden="false" customHeight="false" outlineLevel="0" collapsed="false">
      <c r="A10" s="30" t="str">
        <f aca="false">IF(Employees!B10="","",Employees!B10)</f>
        <v>Farid Khan</v>
      </c>
      <c r="B10" s="30" t="str">
        <f aca="false">IF(A10="","",Employees!C10)</f>
        <v>IT</v>
      </c>
      <c r="C10" s="30" t="n">
        <f aca="false">IF(A10="","",Employees!F10)</f>
        <v>22</v>
      </c>
      <c r="D10" s="30" t="n">
        <f aca="false">IF($A10="","",SUMIFS('Leave Log'!$E$5:$E$304,'Leave Log'!$A$5:$A$304,$A10,'Leave Log'!$B$5:$B$304,"AL",'Leave Log'!$F$5:$F$304,"Approved"))</f>
        <v>3</v>
      </c>
      <c r="E10" s="30" t="n">
        <f aca="false">IF($A10="","",SUMIFS('Leave Log'!$E$5:$E$304,'Leave Log'!$A$5:$A$304,$A10,'Leave Log'!$B$5:$B$304,"SL",'Leave Log'!$F$5:$F$304,"Approved"))</f>
        <v>0</v>
      </c>
      <c r="F10" s="30" t="n">
        <f aca="false">IF($A10="","",SUMIFS('Leave Log'!$E$5:$E$304,'Leave Log'!$A$5:$A$304,$A10,'Leave Log'!$B$5:$B$304,"CL",'Leave Log'!$F$5:$F$304,"Approved"))</f>
        <v>0</v>
      </c>
      <c r="G10" s="30" t="n">
        <f aca="false">IF($A10="","",SUMIFS('Leave Log'!$E$5:$E$304,'Leave Log'!$A$5:$A$304,$A10,'Leave Log'!$B$5:$B$304,"UL",'Leave Log'!$F$5:$F$304,"Approved"))</f>
        <v>0</v>
      </c>
      <c r="H10" s="30" t="n">
        <f aca="false">IF($A10="","",SUMIFS('Leave Log'!$E$5:$E$304,'Leave Log'!$A$5:$A$304,$A10,'Leave Log'!$B$5:$B$304,"OT",'Leave Log'!$F$5:$F$304,"Approved"))</f>
        <v>0</v>
      </c>
      <c r="I10" s="30" t="n">
        <f aca="false">IF(A10="","",SUMIFS('Leave Log'!$E$5:$E$304,'Leave Log'!$A$5:$A$304,$A10,'Leave Log'!$B$5:$B$304,"AL",'Leave Log'!$F$5:$F$304,"Pending"))</f>
        <v>0</v>
      </c>
      <c r="J10" s="30" t="n">
        <f aca="false">IF(A10="","",C10-D10)</f>
        <v>19</v>
      </c>
      <c r="K10" s="32" t="n">
        <f aca="false">IF(OR(A10="",C10=0),"",D10/C10)</f>
        <v>0.136363636363636</v>
      </c>
    </row>
    <row r="11" customFormat="false" ht="15" hidden="false" customHeight="false" outlineLevel="0" collapsed="false">
      <c r="A11" s="30" t="str">
        <f aca="false">IF(Employees!B11="","",Employees!B11)</f>
        <v>Grace Lee</v>
      </c>
      <c r="B11" s="30" t="str">
        <f aca="false">IF(A11="","",Employees!C11)</f>
        <v>IT</v>
      </c>
      <c r="C11" s="30" t="n">
        <f aca="false">IF(A11="","",Employees!F11)</f>
        <v>21</v>
      </c>
      <c r="D11" s="30" t="n">
        <f aca="false">IF($A11="","",SUMIFS('Leave Log'!$E$5:$E$304,'Leave Log'!$A$5:$A$304,$A11,'Leave Log'!$B$5:$B$304,"AL",'Leave Log'!$F$5:$F$304,"Approved"))</f>
        <v>0</v>
      </c>
      <c r="E11" s="30" t="n">
        <f aca="false">IF($A11="","",SUMIFS('Leave Log'!$E$5:$E$304,'Leave Log'!$A$5:$A$304,$A11,'Leave Log'!$B$5:$B$304,"SL",'Leave Log'!$F$5:$F$304,"Approved"))</f>
        <v>0</v>
      </c>
      <c r="F11" s="30" t="n">
        <f aca="false">IF($A11="","",SUMIFS('Leave Log'!$E$5:$E$304,'Leave Log'!$A$5:$A$304,$A11,'Leave Log'!$B$5:$B$304,"CL",'Leave Log'!$F$5:$F$304,"Approved"))</f>
        <v>0</v>
      </c>
      <c r="G11" s="30" t="n">
        <f aca="false">IF($A11="","",SUMIFS('Leave Log'!$E$5:$E$304,'Leave Log'!$A$5:$A$304,$A11,'Leave Log'!$B$5:$B$304,"UL",'Leave Log'!$F$5:$F$304,"Approved"))</f>
        <v>0</v>
      </c>
      <c r="H11" s="30" t="n">
        <f aca="false">IF($A11="","",SUMIFS('Leave Log'!$E$5:$E$304,'Leave Log'!$A$5:$A$304,$A11,'Leave Log'!$B$5:$B$304,"OT",'Leave Log'!$F$5:$F$304,"Approved"))</f>
        <v>0</v>
      </c>
      <c r="I11" s="30" t="n">
        <f aca="false">IF(A11="","",SUMIFS('Leave Log'!$E$5:$E$304,'Leave Log'!$A$5:$A$304,$A11,'Leave Log'!$B$5:$B$304,"AL",'Leave Log'!$F$5:$F$304,"Pending"))</f>
        <v>0</v>
      </c>
      <c r="J11" s="30" t="n">
        <f aca="false">IF(A11="","",C11-D11)</f>
        <v>21</v>
      </c>
      <c r="K11" s="32" t="n">
        <f aca="false">IF(OR(A11="",C11=0),"",D11/C11)</f>
        <v>0</v>
      </c>
    </row>
    <row r="12" customFormat="false" ht="15" hidden="false" customHeight="false" outlineLevel="0" collapsed="false">
      <c r="A12" s="30" t="str">
        <f aca="false">IF(Employees!B12="","",Employees!B12)</f>
        <v>Hassan Ali</v>
      </c>
      <c r="B12" s="30" t="str">
        <f aca="false">IF(A12="","",Employees!C12)</f>
        <v>Sales</v>
      </c>
      <c r="C12" s="30" t="n">
        <f aca="false">IF(A12="","",Employees!F12)</f>
        <v>25</v>
      </c>
      <c r="D12" s="30" t="n">
        <f aca="false">IF($A12="","",SUMIFS('Leave Log'!$E$5:$E$304,'Leave Log'!$A$5:$A$304,$A12,'Leave Log'!$B$5:$B$304,"AL",'Leave Log'!$F$5:$F$304,"Approved"))</f>
        <v>0</v>
      </c>
      <c r="E12" s="30" t="n">
        <f aca="false">IF($A12="","",SUMIFS('Leave Log'!$E$5:$E$304,'Leave Log'!$A$5:$A$304,$A12,'Leave Log'!$B$5:$B$304,"SL",'Leave Log'!$F$5:$F$304,"Approved"))</f>
        <v>0</v>
      </c>
      <c r="F12" s="30" t="n">
        <f aca="false">IF($A12="","",SUMIFS('Leave Log'!$E$5:$E$304,'Leave Log'!$A$5:$A$304,$A12,'Leave Log'!$B$5:$B$304,"CL",'Leave Log'!$F$5:$F$304,"Approved"))</f>
        <v>0</v>
      </c>
      <c r="G12" s="30" t="n">
        <f aca="false">IF($A12="","",SUMIFS('Leave Log'!$E$5:$E$304,'Leave Log'!$A$5:$A$304,$A12,'Leave Log'!$B$5:$B$304,"UL",'Leave Log'!$F$5:$F$304,"Approved"))</f>
        <v>0</v>
      </c>
      <c r="H12" s="30" t="n">
        <f aca="false">IF($A12="","",SUMIFS('Leave Log'!$E$5:$E$304,'Leave Log'!$A$5:$A$304,$A12,'Leave Log'!$B$5:$B$304,"OT",'Leave Log'!$F$5:$F$304,"Approved"))</f>
        <v>0</v>
      </c>
      <c r="I12" s="30" t="n">
        <f aca="false">IF(A12="","",SUMIFS('Leave Log'!$E$5:$E$304,'Leave Log'!$A$5:$A$304,$A12,'Leave Log'!$B$5:$B$304,"AL",'Leave Log'!$F$5:$F$304,"Pending"))</f>
        <v>0</v>
      </c>
      <c r="J12" s="30" t="n">
        <f aca="false">IF(A12="","",C12-D12)</f>
        <v>25</v>
      </c>
      <c r="K12" s="32" t="n">
        <f aca="false">IF(OR(A12="",C12=0),"",D12/C12)</f>
        <v>0</v>
      </c>
    </row>
    <row r="13" customFormat="false" ht="15" hidden="false" customHeight="false" outlineLevel="0" collapsed="false">
      <c r="A13" s="30" t="str">
        <f aca="false">IF(Employees!B13="","",Employees!B13)</f>
        <v/>
      </c>
      <c r="B13" s="30" t="str">
        <f aca="false">IF(A13="","",Employees!C13)</f>
        <v/>
      </c>
      <c r="C13" s="30" t="str">
        <f aca="false">IF(A13="","",Employees!F13)</f>
        <v/>
      </c>
      <c r="D13" s="30" t="str">
        <f aca="false">IF($A13="","",SUMIFS('Leave Log'!$E$5:$E$304,'Leave Log'!$A$5:$A$304,$A13,'Leave Log'!$B$5:$B$304,"AL",'Leave Log'!$F$5:$F$304,"Approved"))</f>
        <v/>
      </c>
      <c r="E13" s="30" t="str">
        <f aca="false">IF($A13="","",SUMIFS('Leave Log'!$E$5:$E$304,'Leave Log'!$A$5:$A$304,$A13,'Leave Log'!$B$5:$B$304,"SL",'Leave Log'!$F$5:$F$304,"Approved"))</f>
        <v/>
      </c>
      <c r="F13" s="30" t="str">
        <f aca="false">IF($A13="","",SUMIFS('Leave Log'!$E$5:$E$304,'Leave Log'!$A$5:$A$304,$A13,'Leave Log'!$B$5:$B$304,"CL",'Leave Log'!$F$5:$F$304,"Approved"))</f>
        <v/>
      </c>
      <c r="G13" s="30" t="str">
        <f aca="false">IF($A13="","",SUMIFS('Leave Log'!$E$5:$E$304,'Leave Log'!$A$5:$A$304,$A13,'Leave Log'!$B$5:$B$304,"UL",'Leave Log'!$F$5:$F$304,"Approved"))</f>
        <v/>
      </c>
      <c r="H13" s="30" t="str">
        <f aca="false">IF($A13="","",SUMIFS('Leave Log'!$E$5:$E$304,'Leave Log'!$A$5:$A$304,$A13,'Leave Log'!$B$5:$B$304,"OT",'Leave Log'!$F$5:$F$304,"Approved"))</f>
        <v/>
      </c>
      <c r="I13" s="30" t="str">
        <f aca="false">IF(A13="","",SUMIFS('Leave Log'!$E$5:$E$304,'Leave Log'!$A$5:$A$304,$A13,'Leave Log'!$B$5:$B$304,"AL",'Leave Log'!$F$5:$F$304,"Pending"))</f>
        <v/>
      </c>
      <c r="J13" s="30" t="str">
        <f aca="false">IF(A13="","",C13-D13)</f>
        <v/>
      </c>
      <c r="K13" s="32" t="str">
        <f aca="false">IF(OR(A13="",C13=0),"",D13/C13)</f>
        <v/>
      </c>
    </row>
    <row r="14" customFormat="false" ht="15" hidden="false" customHeight="false" outlineLevel="0" collapsed="false">
      <c r="A14" s="30" t="str">
        <f aca="false">IF(Employees!B14="","",Employees!B14)</f>
        <v/>
      </c>
      <c r="B14" s="30" t="str">
        <f aca="false">IF(A14="","",Employees!C14)</f>
        <v/>
      </c>
      <c r="C14" s="30" t="str">
        <f aca="false">IF(A14="","",Employees!F14)</f>
        <v/>
      </c>
      <c r="D14" s="30" t="str">
        <f aca="false">IF($A14="","",SUMIFS('Leave Log'!$E$5:$E$304,'Leave Log'!$A$5:$A$304,$A14,'Leave Log'!$B$5:$B$304,"AL",'Leave Log'!$F$5:$F$304,"Approved"))</f>
        <v/>
      </c>
      <c r="E14" s="30" t="str">
        <f aca="false">IF($A14="","",SUMIFS('Leave Log'!$E$5:$E$304,'Leave Log'!$A$5:$A$304,$A14,'Leave Log'!$B$5:$B$304,"SL",'Leave Log'!$F$5:$F$304,"Approved"))</f>
        <v/>
      </c>
      <c r="F14" s="30" t="str">
        <f aca="false">IF($A14="","",SUMIFS('Leave Log'!$E$5:$E$304,'Leave Log'!$A$5:$A$304,$A14,'Leave Log'!$B$5:$B$304,"CL",'Leave Log'!$F$5:$F$304,"Approved"))</f>
        <v/>
      </c>
      <c r="G14" s="30" t="str">
        <f aca="false">IF($A14="","",SUMIFS('Leave Log'!$E$5:$E$304,'Leave Log'!$A$5:$A$304,$A14,'Leave Log'!$B$5:$B$304,"UL",'Leave Log'!$F$5:$F$304,"Approved"))</f>
        <v/>
      </c>
      <c r="H14" s="30" t="str">
        <f aca="false">IF($A14="","",SUMIFS('Leave Log'!$E$5:$E$304,'Leave Log'!$A$5:$A$304,$A14,'Leave Log'!$B$5:$B$304,"OT",'Leave Log'!$F$5:$F$304,"Approved"))</f>
        <v/>
      </c>
      <c r="I14" s="30" t="str">
        <f aca="false">IF(A14="","",SUMIFS('Leave Log'!$E$5:$E$304,'Leave Log'!$A$5:$A$304,$A14,'Leave Log'!$B$5:$B$304,"AL",'Leave Log'!$F$5:$F$304,"Pending"))</f>
        <v/>
      </c>
      <c r="J14" s="30" t="str">
        <f aca="false">IF(A14="","",C14-D14)</f>
        <v/>
      </c>
      <c r="K14" s="32" t="str">
        <f aca="false">IF(OR(A14="",C14=0),"",D14/C14)</f>
        <v/>
      </c>
    </row>
    <row r="15" customFormat="false" ht="15" hidden="false" customHeight="false" outlineLevel="0" collapsed="false">
      <c r="A15" s="30" t="str">
        <f aca="false">IF(Employees!B15="","",Employees!B15)</f>
        <v/>
      </c>
      <c r="B15" s="30" t="str">
        <f aca="false">IF(A15="","",Employees!C15)</f>
        <v/>
      </c>
      <c r="C15" s="30" t="str">
        <f aca="false">IF(A15="","",Employees!F15)</f>
        <v/>
      </c>
      <c r="D15" s="30" t="str">
        <f aca="false">IF($A15="","",SUMIFS('Leave Log'!$E$5:$E$304,'Leave Log'!$A$5:$A$304,$A15,'Leave Log'!$B$5:$B$304,"AL",'Leave Log'!$F$5:$F$304,"Approved"))</f>
        <v/>
      </c>
      <c r="E15" s="30" t="str">
        <f aca="false">IF($A15="","",SUMIFS('Leave Log'!$E$5:$E$304,'Leave Log'!$A$5:$A$304,$A15,'Leave Log'!$B$5:$B$304,"SL",'Leave Log'!$F$5:$F$304,"Approved"))</f>
        <v/>
      </c>
      <c r="F15" s="30" t="str">
        <f aca="false">IF($A15="","",SUMIFS('Leave Log'!$E$5:$E$304,'Leave Log'!$A$5:$A$304,$A15,'Leave Log'!$B$5:$B$304,"CL",'Leave Log'!$F$5:$F$304,"Approved"))</f>
        <v/>
      </c>
      <c r="G15" s="30" t="str">
        <f aca="false">IF($A15="","",SUMIFS('Leave Log'!$E$5:$E$304,'Leave Log'!$A$5:$A$304,$A15,'Leave Log'!$B$5:$B$304,"UL",'Leave Log'!$F$5:$F$304,"Approved"))</f>
        <v/>
      </c>
      <c r="H15" s="30" t="str">
        <f aca="false">IF($A15="","",SUMIFS('Leave Log'!$E$5:$E$304,'Leave Log'!$A$5:$A$304,$A15,'Leave Log'!$B$5:$B$304,"OT",'Leave Log'!$F$5:$F$304,"Approved"))</f>
        <v/>
      </c>
      <c r="I15" s="30" t="str">
        <f aca="false">IF(A15="","",SUMIFS('Leave Log'!$E$5:$E$304,'Leave Log'!$A$5:$A$304,$A15,'Leave Log'!$B$5:$B$304,"AL",'Leave Log'!$F$5:$F$304,"Pending"))</f>
        <v/>
      </c>
      <c r="J15" s="30" t="str">
        <f aca="false">IF(A15="","",C15-D15)</f>
        <v/>
      </c>
      <c r="K15" s="32" t="str">
        <f aca="false">IF(OR(A15="",C15=0),"",D15/C15)</f>
        <v/>
      </c>
    </row>
    <row r="16" customFormat="false" ht="15" hidden="false" customHeight="false" outlineLevel="0" collapsed="false">
      <c r="A16" s="30" t="str">
        <f aca="false">IF(Employees!B16="","",Employees!B16)</f>
        <v/>
      </c>
      <c r="B16" s="30" t="str">
        <f aca="false">IF(A16="","",Employees!C16)</f>
        <v/>
      </c>
      <c r="C16" s="30" t="str">
        <f aca="false">IF(A16="","",Employees!F16)</f>
        <v/>
      </c>
      <c r="D16" s="30" t="str">
        <f aca="false">IF($A16="","",SUMIFS('Leave Log'!$E$5:$E$304,'Leave Log'!$A$5:$A$304,$A16,'Leave Log'!$B$5:$B$304,"AL",'Leave Log'!$F$5:$F$304,"Approved"))</f>
        <v/>
      </c>
      <c r="E16" s="30" t="str">
        <f aca="false">IF($A16="","",SUMIFS('Leave Log'!$E$5:$E$304,'Leave Log'!$A$5:$A$304,$A16,'Leave Log'!$B$5:$B$304,"SL",'Leave Log'!$F$5:$F$304,"Approved"))</f>
        <v/>
      </c>
      <c r="F16" s="30" t="str">
        <f aca="false">IF($A16="","",SUMIFS('Leave Log'!$E$5:$E$304,'Leave Log'!$A$5:$A$304,$A16,'Leave Log'!$B$5:$B$304,"CL",'Leave Log'!$F$5:$F$304,"Approved"))</f>
        <v/>
      </c>
      <c r="G16" s="30" t="str">
        <f aca="false">IF($A16="","",SUMIFS('Leave Log'!$E$5:$E$304,'Leave Log'!$A$5:$A$304,$A16,'Leave Log'!$B$5:$B$304,"UL",'Leave Log'!$F$5:$F$304,"Approved"))</f>
        <v/>
      </c>
      <c r="H16" s="30" t="str">
        <f aca="false">IF($A16="","",SUMIFS('Leave Log'!$E$5:$E$304,'Leave Log'!$A$5:$A$304,$A16,'Leave Log'!$B$5:$B$304,"OT",'Leave Log'!$F$5:$F$304,"Approved"))</f>
        <v/>
      </c>
      <c r="I16" s="30" t="str">
        <f aca="false">IF(A16="","",SUMIFS('Leave Log'!$E$5:$E$304,'Leave Log'!$A$5:$A$304,$A16,'Leave Log'!$B$5:$B$304,"AL",'Leave Log'!$F$5:$F$304,"Pending"))</f>
        <v/>
      </c>
      <c r="J16" s="30" t="str">
        <f aca="false">IF(A16="","",C16-D16)</f>
        <v/>
      </c>
      <c r="K16" s="32" t="str">
        <f aca="false">IF(OR(A16="",C16=0),"",D16/C16)</f>
        <v/>
      </c>
    </row>
    <row r="17" customFormat="false" ht="15" hidden="false" customHeight="false" outlineLevel="0" collapsed="false">
      <c r="A17" s="30" t="str">
        <f aca="false">IF(Employees!B17="","",Employees!B17)</f>
        <v/>
      </c>
      <c r="B17" s="30" t="str">
        <f aca="false">IF(A17="","",Employees!C17)</f>
        <v/>
      </c>
      <c r="C17" s="30" t="str">
        <f aca="false">IF(A17="","",Employees!F17)</f>
        <v/>
      </c>
      <c r="D17" s="30" t="str">
        <f aca="false">IF($A17="","",SUMIFS('Leave Log'!$E$5:$E$304,'Leave Log'!$A$5:$A$304,$A17,'Leave Log'!$B$5:$B$304,"AL",'Leave Log'!$F$5:$F$304,"Approved"))</f>
        <v/>
      </c>
      <c r="E17" s="30" t="str">
        <f aca="false">IF($A17="","",SUMIFS('Leave Log'!$E$5:$E$304,'Leave Log'!$A$5:$A$304,$A17,'Leave Log'!$B$5:$B$304,"SL",'Leave Log'!$F$5:$F$304,"Approved"))</f>
        <v/>
      </c>
      <c r="F17" s="30" t="str">
        <f aca="false">IF($A17="","",SUMIFS('Leave Log'!$E$5:$E$304,'Leave Log'!$A$5:$A$304,$A17,'Leave Log'!$B$5:$B$304,"CL",'Leave Log'!$F$5:$F$304,"Approved"))</f>
        <v/>
      </c>
      <c r="G17" s="30" t="str">
        <f aca="false">IF($A17="","",SUMIFS('Leave Log'!$E$5:$E$304,'Leave Log'!$A$5:$A$304,$A17,'Leave Log'!$B$5:$B$304,"UL",'Leave Log'!$F$5:$F$304,"Approved"))</f>
        <v/>
      </c>
      <c r="H17" s="30" t="str">
        <f aca="false">IF($A17="","",SUMIFS('Leave Log'!$E$5:$E$304,'Leave Log'!$A$5:$A$304,$A17,'Leave Log'!$B$5:$B$304,"OT",'Leave Log'!$F$5:$F$304,"Approved"))</f>
        <v/>
      </c>
      <c r="I17" s="30" t="str">
        <f aca="false">IF(A17="","",SUMIFS('Leave Log'!$E$5:$E$304,'Leave Log'!$A$5:$A$304,$A17,'Leave Log'!$B$5:$B$304,"AL",'Leave Log'!$F$5:$F$304,"Pending"))</f>
        <v/>
      </c>
      <c r="J17" s="30" t="str">
        <f aca="false">IF(A17="","",C17-D17)</f>
        <v/>
      </c>
      <c r="K17" s="32" t="str">
        <f aca="false">IF(OR(A17="",C17=0),"",D17/C17)</f>
        <v/>
      </c>
    </row>
    <row r="18" customFormat="false" ht="15" hidden="false" customHeight="false" outlineLevel="0" collapsed="false">
      <c r="A18" s="30" t="str">
        <f aca="false">IF(Employees!B18="","",Employees!B18)</f>
        <v/>
      </c>
      <c r="B18" s="30" t="str">
        <f aca="false">IF(A18="","",Employees!C18)</f>
        <v/>
      </c>
      <c r="C18" s="30" t="str">
        <f aca="false">IF(A18="","",Employees!F18)</f>
        <v/>
      </c>
      <c r="D18" s="30" t="str">
        <f aca="false">IF($A18="","",SUMIFS('Leave Log'!$E$5:$E$304,'Leave Log'!$A$5:$A$304,$A18,'Leave Log'!$B$5:$B$304,"AL",'Leave Log'!$F$5:$F$304,"Approved"))</f>
        <v/>
      </c>
      <c r="E18" s="30" t="str">
        <f aca="false">IF($A18="","",SUMIFS('Leave Log'!$E$5:$E$304,'Leave Log'!$A$5:$A$304,$A18,'Leave Log'!$B$5:$B$304,"SL",'Leave Log'!$F$5:$F$304,"Approved"))</f>
        <v/>
      </c>
      <c r="F18" s="30" t="str">
        <f aca="false">IF($A18="","",SUMIFS('Leave Log'!$E$5:$E$304,'Leave Log'!$A$5:$A$304,$A18,'Leave Log'!$B$5:$B$304,"CL",'Leave Log'!$F$5:$F$304,"Approved"))</f>
        <v/>
      </c>
      <c r="G18" s="30" t="str">
        <f aca="false">IF($A18="","",SUMIFS('Leave Log'!$E$5:$E$304,'Leave Log'!$A$5:$A$304,$A18,'Leave Log'!$B$5:$B$304,"UL",'Leave Log'!$F$5:$F$304,"Approved"))</f>
        <v/>
      </c>
      <c r="H18" s="30" t="str">
        <f aca="false">IF($A18="","",SUMIFS('Leave Log'!$E$5:$E$304,'Leave Log'!$A$5:$A$304,$A18,'Leave Log'!$B$5:$B$304,"OT",'Leave Log'!$F$5:$F$304,"Approved"))</f>
        <v/>
      </c>
      <c r="I18" s="30" t="str">
        <f aca="false">IF(A18="","",SUMIFS('Leave Log'!$E$5:$E$304,'Leave Log'!$A$5:$A$304,$A18,'Leave Log'!$B$5:$B$304,"AL",'Leave Log'!$F$5:$F$304,"Pending"))</f>
        <v/>
      </c>
      <c r="J18" s="30" t="str">
        <f aca="false">IF(A18="","",C18-D18)</f>
        <v/>
      </c>
      <c r="K18" s="32" t="str">
        <f aca="false">IF(OR(A18="",C18=0),"",D18/C18)</f>
        <v/>
      </c>
    </row>
    <row r="19" customFormat="false" ht="15" hidden="false" customHeight="false" outlineLevel="0" collapsed="false">
      <c r="A19" s="30" t="str">
        <f aca="false">IF(Employees!B19="","",Employees!B19)</f>
        <v/>
      </c>
      <c r="B19" s="30" t="str">
        <f aca="false">IF(A19="","",Employees!C19)</f>
        <v/>
      </c>
      <c r="C19" s="30" t="str">
        <f aca="false">IF(A19="","",Employees!F19)</f>
        <v/>
      </c>
      <c r="D19" s="30" t="str">
        <f aca="false">IF($A19="","",SUMIFS('Leave Log'!$E$5:$E$304,'Leave Log'!$A$5:$A$304,$A19,'Leave Log'!$B$5:$B$304,"AL",'Leave Log'!$F$5:$F$304,"Approved"))</f>
        <v/>
      </c>
      <c r="E19" s="30" t="str">
        <f aca="false">IF($A19="","",SUMIFS('Leave Log'!$E$5:$E$304,'Leave Log'!$A$5:$A$304,$A19,'Leave Log'!$B$5:$B$304,"SL",'Leave Log'!$F$5:$F$304,"Approved"))</f>
        <v/>
      </c>
      <c r="F19" s="30" t="str">
        <f aca="false">IF($A19="","",SUMIFS('Leave Log'!$E$5:$E$304,'Leave Log'!$A$5:$A$304,$A19,'Leave Log'!$B$5:$B$304,"CL",'Leave Log'!$F$5:$F$304,"Approved"))</f>
        <v/>
      </c>
      <c r="G19" s="30" t="str">
        <f aca="false">IF($A19="","",SUMIFS('Leave Log'!$E$5:$E$304,'Leave Log'!$A$5:$A$304,$A19,'Leave Log'!$B$5:$B$304,"UL",'Leave Log'!$F$5:$F$304,"Approved"))</f>
        <v/>
      </c>
      <c r="H19" s="30" t="str">
        <f aca="false">IF($A19="","",SUMIFS('Leave Log'!$E$5:$E$304,'Leave Log'!$A$5:$A$304,$A19,'Leave Log'!$B$5:$B$304,"OT",'Leave Log'!$F$5:$F$304,"Approved"))</f>
        <v/>
      </c>
      <c r="I19" s="30" t="str">
        <f aca="false">IF(A19="","",SUMIFS('Leave Log'!$E$5:$E$304,'Leave Log'!$A$5:$A$304,$A19,'Leave Log'!$B$5:$B$304,"AL",'Leave Log'!$F$5:$F$304,"Pending"))</f>
        <v/>
      </c>
      <c r="J19" s="30" t="str">
        <f aca="false">IF(A19="","",C19-D19)</f>
        <v/>
      </c>
      <c r="K19" s="32" t="str">
        <f aca="false">IF(OR(A19="",C19=0),"",D19/C19)</f>
        <v/>
      </c>
    </row>
    <row r="20" customFormat="false" ht="15" hidden="false" customHeight="false" outlineLevel="0" collapsed="false">
      <c r="A20" s="30" t="str">
        <f aca="false">IF(Employees!B20="","",Employees!B20)</f>
        <v/>
      </c>
      <c r="B20" s="30" t="str">
        <f aca="false">IF(A20="","",Employees!C20)</f>
        <v/>
      </c>
      <c r="C20" s="30" t="str">
        <f aca="false">IF(A20="","",Employees!F20)</f>
        <v/>
      </c>
      <c r="D20" s="30" t="str">
        <f aca="false">IF($A20="","",SUMIFS('Leave Log'!$E$5:$E$304,'Leave Log'!$A$5:$A$304,$A20,'Leave Log'!$B$5:$B$304,"AL",'Leave Log'!$F$5:$F$304,"Approved"))</f>
        <v/>
      </c>
      <c r="E20" s="30" t="str">
        <f aca="false">IF($A20="","",SUMIFS('Leave Log'!$E$5:$E$304,'Leave Log'!$A$5:$A$304,$A20,'Leave Log'!$B$5:$B$304,"SL",'Leave Log'!$F$5:$F$304,"Approved"))</f>
        <v/>
      </c>
      <c r="F20" s="30" t="str">
        <f aca="false">IF($A20="","",SUMIFS('Leave Log'!$E$5:$E$304,'Leave Log'!$A$5:$A$304,$A20,'Leave Log'!$B$5:$B$304,"CL",'Leave Log'!$F$5:$F$304,"Approved"))</f>
        <v/>
      </c>
      <c r="G20" s="30" t="str">
        <f aca="false">IF($A20="","",SUMIFS('Leave Log'!$E$5:$E$304,'Leave Log'!$A$5:$A$304,$A20,'Leave Log'!$B$5:$B$304,"UL",'Leave Log'!$F$5:$F$304,"Approved"))</f>
        <v/>
      </c>
      <c r="H20" s="30" t="str">
        <f aca="false">IF($A20="","",SUMIFS('Leave Log'!$E$5:$E$304,'Leave Log'!$A$5:$A$304,$A20,'Leave Log'!$B$5:$B$304,"OT",'Leave Log'!$F$5:$F$304,"Approved"))</f>
        <v/>
      </c>
      <c r="I20" s="30" t="str">
        <f aca="false">IF(A20="","",SUMIFS('Leave Log'!$E$5:$E$304,'Leave Log'!$A$5:$A$304,$A20,'Leave Log'!$B$5:$B$304,"AL",'Leave Log'!$F$5:$F$304,"Pending"))</f>
        <v/>
      </c>
      <c r="J20" s="30" t="str">
        <f aca="false">IF(A20="","",C20-D20)</f>
        <v/>
      </c>
      <c r="K20" s="32" t="str">
        <f aca="false">IF(OR(A20="",C20=0),"",D20/C20)</f>
        <v/>
      </c>
    </row>
    <row r="21" customFormat="false" ht="15" hidden="false" customHeight="false" outlineLevel="0" collapsed="false">
      <c r="A21" s="30" t="str">
        <f aca="false">IF(Employees!B21="","",Employees!B21)</f>
        <v/>
      </c>
      <c r="B21" s="30" t="str">
        <f aca="false">IF(A21="","",Employees!C21)</f>
        <v/>
      </c>
      <c r="C21" s="30" t="str">
        <f aca="false">IF(A21="","",Employees!F21)</f>
        <v/>
      </c>
      <c r="D21" s="30" t="str">
        <f aca="false">IF($A21="","",SUMIFS('Leave Log'!$E$5:$E$304,'Leave Log'!$A$5:$A$304,$A21,'Leave Log'!$B$5:$B$304,"AL",'Leave Log'!$F$5:$F$304,"Approved"))</f>
        <v/>
      </c>
      <c r="E21" s="30" t="str">
        <f aca="false">IF($A21="","",SUMIFS('Leave Log'!$E$5:$E$304,'Leave Log'!$A$5:$A$304,$A21,'Leave Log'!$B$5:$B$304,"SL",'Leave Log'!$F$5:$F$304,"Approved"))</f>
        <v/>
      </c>
      <c r="F21" s="30" t="str">
        <f aca="false">IF($A21="","",SUMIFS('Leave Log'!$E$5:$E$304,'Leave Log'!$A$5:$A$304,$A21,'Leave Log'!$B$5:$B$304,"CL",'Leave Log'!$F$5:$F$304,"Approved"))</f>
        <v/>
      </c>
      <c r="G21" s="30" t="str">
        <f aca="false">IF($A21="","",SUMIFS('Leave Log'!$E$5:$E$304,'Leave Log'!$A$5:$A$304,$A21,'Leave Log'!$B$5:$B$304,"UL",'Leave Log'!$F$5:$F$304,"Approved"))</f>
        <v/>
      </c>
      <c r="H21" s="30" t="str">
        <f aca="false">IF($A21="","",SUMIFS('Leave Log'!$E$5:$E$304,'Leave Log'!$A$5:$A$304,$A21,'Leave Log'!$B$5:$B$304,"OT",'Leave Log'!$F$5:$F$304,"Approved"))</f>
        <v/>
      </c>
      <c r="I21" s="30" t="str">
        <f aca="false">IF(A21="","",SUMIFS('Leave Log'!$E$5:$E$304,'Leave Log'!$A$5:$A$304,$A21,'Leave Log'!$B$5:$B$304,"AL",'Leave Log'!$F$5:$F$304,"Pending"))</f>
        <v/>
      </c>
      <c r="J21" s="30" t="str">
        <f aca="false">IF(A21="","",C21-D21)</f>
        <v/>
      </c>
      <c r="K21" s="32" t="str">
        <f aca="false">IF(OR(A21="",C21=0),"",D21/C21)</f>
        <v/>
      </c>
    </row>
    <row r="22" customFormat="false" ht="15" hidden="false" customHeight="false" outlineLevel="0" collapsed="false">
      <c r="A22" s="30" t="str">
        <f aca="false">IF(Employees!B22="","",Employees!B22)</f>
        <v/>
      </c>
      <c r="B22" s="30" t="str">
        <f aca="false">IF(A22="","",Employees!C22)</f>
        <v/>
      </c>
      <c r="C22" s="30" t="str">
        <f aca="false">IF(A22="","",Employees!F22)</f>
        <v/>
      </c>
      <c r="D22" s="30" t="str">
        <f aca="false">IF($A22="","",SUMIFS('Leave Log'!$E$5:$E$304,'Leave Log'!$A$5:$A$304,$A22,'Leave Log'!$B$5:$B$304,"AL",'Leave Log'!$F$5:$F$304,"Approved"))</f>
        <v/>
      </c>
      <c r="E22" s="30" t="str">
        <f aca="false">IF($A22="","",SUMIFS('Leave Log'!$E$5:$E$304,'Leave Log'!$A$5:$A$304,$A22,'Leave Log'!$B$5:$B$304,"SL",'Leave Log'!$F$5:$F$304,"Approved"))</f>
        <v/>
      </c>
      <c r="F22" s="30" t="str">
        <f aca="false">IF($A22="","",SUMIFS('Leave Log'!$E$5:$E$304,'Leave Log'!$A$5:$A$304,$A22,'Leave Log'!$B$5:$B$304,"CL",'Leave Log'!$F$5:$F$304,"Approved"))</f>
        <v/>
      </c>
      <c r="G22" s="30" t="str">
        <f aca="false">IF($A22="","",SUMIFS('Leave Log'!$E$5:$E$304,'Leave Log'!$A$5:$A$304,$A22,'Leave Log'!$B$5:$B$304,"UL",'Leave Log'!$F$5:$F$304,"Approved"))</f>
        <v/>
      </c>
      <c r="H22" s="30" t="str">
        <f aca="false">IF($A22="","",SUMIFS('Leave Log'!$E$5:$E$304,'Leave Log'!$A$5:$A$304,$A22,'Leave Log'!$B$5:$B$304,"OT",'Leave Log'!$F$5:$F$304,"Approved"))</f>
        <v/>
      </c>
      <c r="I22" s="30" t="str">
        <f aca="false">IF(A22="","",SUMIFS('Leave Log'!$E$5:$E$304,'Leave Log'!$A$5:$A$304,$A22,'Leave Log'!$B$5:$B$304,"AL",'Leave Log'!$F$5:$F$304,"Pending"))</f>
        <v/>
      </c>
      <c r="J22" s="30" t="str">
        <f aca="false">IF(A22="","",C22-D22)</f>
        <v/>
      </c>
      <c r="K22" s="32" t="str">
        <f aca="false">IF(OR(A22="",C22=0),"",D22/C22)</f>
        <v/>
      </c>
    </row>
    <row r="23" customFormat="false" ht="15" hidden="false" customHeight="false" outlineLevel="0" collapsed="false">
      <c r="A23" s="30" t="str">
        <f aca="false">IF(Employees!B23="","",Employees!B23)</f>
        <v/>
      </c>
      <c r="B23" s="30" t="str">
        <f aca="false">IF(A23="","",Employees!C23)</f>
        <v/>
      </c>
      <c r="C23" s="30" t="str">
        <f aca="false">IF(A23="","",Employees!F23)</f>
        <v/>
      </c>
      <c r="D23" s="30" t="str">
        <f aca="false">IF($A23="","",SUMIFS('Leave Log'!$E$5:$E$304,'Leave Log'!$A$5:$A$304,$A23,'Leave Log'!$B$5:$B$304,"AL",'Leave Log'!$F$5:$F$304,"Approved"))</f>
        <v/>
      </c>
      <c r="E23" s="30" t="str">
        <f aca="false">IF($A23="","",SUMIFS('Leave Log'!$E$5:$E$304,'Leave Log'!$A$5:$A$304,$A23,'Leave Log'!$B$5:$B$304,"SL",'Leave Log'!$F$5:$F$304,"Approved"))</f>
        <v/>
      </c>
      <c r="F23" s="30" t="str">
        <f aca="false">IF($A23="","",SUMIFS('Leave Log'!$E$5:$E$304,'Leave Log'!$A$5:$A$304,$A23,'Leave Log'!$B$5:$B$304,"CL",'Leave Log'!$F$5:$F$304,"Approved"))</f>
        <v/>
      </c>
      <c r="G23" s="30" t="str">
        <f aca="false">IF($A23="","",SUMIFS('Leave Log'!$E$5:$E$304,'Leave Log'!$A$5:$A$304,$A23,'Leave Log'!$B$5:$B$304,"UL",'Leave Log'!$F$5:$F$304,"Approved"))</f>
        <v/>
      </c>
      <c r="H23" s="30" t="str">
        <f aca="false">IF($A23="","",SUMIFS('Leave Log'!$E$5:$E$304,'Leave Log'!$A$5:$A$304,$A23,'Leave Log'!$B$5:$B$304,"OT",'Leave Log'!$F$5:$F$304,"Approved"))</f>
        <v/>
      </c>
      <c r="I23" s="30" t="str">
        <f aca="false">IF(A23="","",SUMIFS('Leave Log'!$E$5:$E$304,'Leave Log'!$A$5:$A$304,$A23,'Leave Log'!$B$5:$B$304,"AL",'Leave Log'!$F$5:$F$304,"Pending"))</f>
        <v/>
      </c>
      <c r="J23" s="30" t="str">
        <f aca="false">IF(A23="","",C23-D23)</f>
        <v/>
      </c>
      <c r="K23" s="32" t="str">
        <f aca="false">IF(OR(A23="",C23=0),"",D23/C23)</f>
        <v/>
      </c>
    </row>
    <row r="24" customFormat="false" ht="15" hidden="false" customHeight="false" outlineLevel="0" collapsed="false">
      <c r="A24" s="30" t="str">
        <f aca="false">IF(Employees!B24="","",Employees!B24)</f>
        <v/>
      </c>
      <c r="B24" s="30" t="str">
        <f aca="false">IF(A24="","",Employees!C24)</f>
        <v/>
      </c>
      <c r="C24" s="30" t="str">
        <f aca="false">IF(A24="","",Employees!F24)</f>
        <v/>
      </c>
      <c r="D24" s="30" t="str">
        <f aca="false">IF($A24="","",SUMIFS('Leave Log'!$E$5:$E$304,'Leave Log'!$A$5:$A$304,$A24,'Leave Log'!$B$5:$B$304,"AL",'Leave Log'!$F$5:$F$304,"Approved"))</f>
        <v/>
      </c>
      <c r="E24" s="30" t="str">
        <f aca="false">IF($A24="","",SUMIFS('Leave Log'!$E$5:$E$304,'Leave Log'!$A$5:$A$304,$A24,'Leave Log'!$B$5:$B$304,"SL",'Leave Log'!$F$5:$F$304,"Approved"))</f>
        <v/>
      </c>
      <c r="F24" s="30" t="str">
        <f aca="false">IF($A24="","",SUMIFS('Leave Log'!$E$5:$E$304,'Leave Log'!$A$5:$A$304,$A24,'Leave Log'!$B$5:$B$304,"CL",'Leave Log'!$F$5:$F$304,"Approved"))</f>
        <v/>
      </c>
      <c r="G24" s="30" t="str">
        <f aca="false">IF($A24="","",SUMIFS('Leave Log'!$E$5:$E$304,'Leave Log'!$A$5:$A$304,$A24,'Leave Log'!$B$5:$B$304,"UL",'Leave Log'!$F$5:$F$304,"Approved"))</f>
        <v/>
      </c>
      <c r="H24" s="30" t="str">
        <f aca="false">IF($A24="","",SUMIFS('Leave Log'!$E$5:$E$304,'Leave Log'!$A$5:$A$304,$A24,'Leave Log'!$B$5:$B$304,"OT",'Leave Log'!$F$5:$F$304,"Approved"))</f>
        <v/>
      </c>
      <c r="I24" s="30" t="str">
        <f aca="false">IF(A24="","",SUMIFS('Leave Log'!$E$5:$E$304,'Leave Log'!$A$5:$A$304,$A24,'Leave Log'!$B$5:$B$304,"AL",'Leave Log'!$F$5:$F$304,"Pending"))</f>
        <v/>
      </c>
      <c r="J24" s="30" t="str">
        <f aca="false">IF(A24="","",C24-D24)</f>
        <v/>
      </c>
      <c r="K24" s="32" t="str">
        <f aca="false">IF(OR(A24="",C24=0),"",D24/C24)</f>
        <v/>
      </c>
    </row>
    <row r="25" customFormat="false" ht="15" hidden="false" customHeight="false" outlineLevel="0" collapsed="false">
      <c r="A25" s="3" t="s">
        <v>109</v>
      </c>
      <c r="C25" s="33" t="n">
        <f aca="false">SUM(C5:C24)</f>
        <v>189</v>
      </c>
      <c r="D25" s="33" t="n">
        <f aca="false">SUM(D5:D24)</f>
        <v>8</v>
      </c>
      <c r="E25" s="33" t="n">
        <f aca="false">SUM(E5:E24)</f>
        <v>2</v>
      </c>
      <c r="F25" s="33" t="n">
        <f aca="false">SUM(F5:F24)</f>
        <v>1</v>
      </c>
      <c r="G25" s="33" t="n">
        <f aca="false">SUM(G5:G24)</f>
        <v>0</v>
      </c>
      <c r="H25" s="33" t="n">
        <f aca="false">SUM(H5:H24)</f>
        <v>2</v>
      </c>
      <c r="I25" s="33" t="n">
        <f aca="false">SUM(I5:I24)</f>
        <v>6</v>
      </c>
      <c r="J25" s="33" t="n">
        <f aca="false">SUM(J5:J24)</f>
        <v>181</v>
      </c>
    </row>
    <row r="27" customFormat="false" ht="15" hidden="false" customHeight="false" outlineLevel="0" collapsed="false">
      <c r="A27" s="34" t="s">
        <v>110</v>
      </c>
    </row>
  </sheetData>
  <conditionalFormatting sqref="J5:J24">
    <cfRule type="cellIs" priority="2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2026-10-22T15:58:42Z</dcterms:created>
  <dc:creator>openpyxl</dc:creator>
  <dc:description/>
  <dc:language>en-US</dc:language>
  <cp:lastModifiedBy/>
  <dcterms:modified xsi:type="dcterms:W3CDTF">2026-10-22T15:58:42Z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